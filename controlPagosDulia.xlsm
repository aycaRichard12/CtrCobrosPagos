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41677451-9650-45B0-9BAF-4724DFE251F3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" i="9" l="1"/>
  <c r="E7" i="9"/>
  <c r="G7" i="9"/>
  <c r="D10" i="3"/>
  <c r="F1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<sst xmlns="http://schemas.openxmlformats.org/spreadsheetml/2006/main" count="154" uniqueCount="97">
  <si>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</si>
  <si>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</si>
  <si>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</si>
  <si>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</si>
  <si>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</si>
  <si>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</si>
  <si>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</si>
  <si>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</si>
  <si>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</si>
  <si>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</si>
  <si>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</si>
  <si>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</si>
  <si>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</si>
  <si>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</si>
  <si>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</si>
  <si>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</si>
  <si>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</si>
  <si>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</si>
  <si>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</si>
  <si>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</si>
  <si>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</si>
  <si>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</si>
  <si>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</si>
  <si>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</si>
  <si>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</si>
  <si>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</si>
  <si>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</si>
  <si>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</si>
  <si>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</si>
  <si>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</si>
  <si>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</si>
  <si>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</si>
  <si>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</si>
  <si>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</si>
  <si>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</si>
  <si>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</si>
  <si>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</si>
  <si>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</si>
  <si>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</si>
  <si>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</si>
  <si>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</si>
  <si>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</si>
  <si>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</si>
  <si>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</si>
  <si>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</si>
  <si>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</si>
  <si>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</si>
  <si>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</si>
  <si>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</si>
  <si>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</si>
  <si>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</si>
  <si>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</si>
  <si>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</si>
  <si>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</si>
  <si>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</si>
  <si>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</si>
  <si>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</si>
  <si>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</si>
  <si>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</si>
  <si>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</si>
  <si>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</si>
  <si>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</si>
  <si>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</si>
  <si>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</si>
  <si>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</si>
  <si>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</si>
  <si>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</si>
  <si>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</si>
  <si>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</si>
  <si>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</si>
  <si>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</si>
  <si>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</si>
  <si>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</si>
  <si>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</si>
  <si>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</si>
  <si>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</si>
  <si>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</si>
  <si>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</si>
  <si>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</si>
  <si>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</si>
  <si>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</si>
  <si>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</si>
  <si>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</si>
  <si>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</si>
  <si>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</si>
  <si>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</si>
  <si>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</si>
  <si>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</si>
  <si>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</si>
  <si>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</si>
  <si>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981298</t>
  </si>
  <si>
    <t>Juan -</t>
  </si>
  <si>
    <t>12312|</t>
  </si>
  <si>
    <t>PAOLA -</t>
  </si>
  <si>
    <t>12312</t>
  </si>
  <si>
    <t>123123</t>
  </si>
  <si>
    <t>Resumen del Ingreso: 981298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</si>
</sst>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&quot;Bs&quot;#,##0.00;[Red]\ \-\ &quot;Bs&quot;#,##0.00"/>
    <numFmt numFmtId="166" formatCode="&quot;Bs&quot;#,##0.00"/>
    <numFmt numFmtId="167" formatCode="&quot;Bs&quot;#,##0.00;[Red]\-&quot;Bs&quot;#,##0.00"/>
  </numFmts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3" borderId="0" xfId="0" applyFont="1" applyFill="1"/>
    <xf numFmtId="0" fontId="4" fillId="0" borderId="0" xfId="0" applyFont="1"/>
    <xf numFmtId="0" fontId="5" fillId="4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167" fontId="0" fillId="0" borderId="0" xfId="0" applyNumberFormat="1" applyAlignment="1">
      <alignment horizontal="right"/>
    </xf>
  </cellXfs>
  <cellStyles count="1">
    <cellStyle name="Normal" xfId="0" builtinId="0"/>
  </cellStyles>
  <dxfs count="19">
    <dxf>
      <numFmt numFmtId="167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167" formatCode="&quot;Bs&quot;#,##0.00;[Red]\-&quot;Bs&quot;#,##0.00"/>
      <alignment horizontal="right" vertical="bottom" textRotation="0" wrapText="0" indent="0" justifyLastLine="0" shrinkToFit="0" readingOrder="0"/>
    </dxf>
    <dxf>
      <numFmt numFmtId="167" formatCode="&quot;Bs&quot;#,##0.00;[Red]\-&quot;Bs&quot;#,##0.00"/>
      <alignment horizontal="right" vertical="bottom" textRotation="0" wrapText="0" indent="0" justifyLastLine="0" shrinkToFit="0" readingOrder="0"/>
    </dxf>
    <dxf>
      <numFmt numFmtId="167" formatCode="&quot;Bs&quot;#,##0.00;[Red]\-&quot;Bs&quot;#,##0.00"/>
      <alignment horizontal="right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rgb="FF003366"/>
        </patternFill>
      </fill>
    </dxf>
    <dxf>
      <numFmt numFmtId="19" formatCode="d/m/yyyy"/>
    </dxf>
    <dxf>
      <alignment horizontal="right" vertical="bottom" textRotation="0" wrapText="0" indent="0" justifyLastLine="0" shrinkToFit="0" readingOrder="0"/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C5B410-4A4B-4856-9841-00A19C13DF83}" name="tblIngresosRegistrados" displayName="tblIngresosRegistrados" ref="A4:F10" totalsRowCount="1" headerRowDxfId="14">
  <autoFilter ref="A4:F9" xr:uid="{03C5B410-4A4B-4856-9841-00A19C13DF83}"/>
  <tableColumns count="6">
    <tableColumn id="1" xr3:uid="{0FDE2AB2-4314-4E0C-8593-E39D8518A145}" name="idingreso" totalsRowLabel="Total"/>
    <tableColumn id="2" xr3:uid="{81799608-17A3-4B5B-8953-927AC4991690}" name="orden_recibo"/>
    <tableColumn id="3" xr3:uid="{E826B454-3981-4B6E-8FFA-042C479EEDAA}" name="fecha" dataDxfId="13"/>
    <tableColumn id="4" xr3:uid="{D94C963E-7C15-43B1-BEB3-7A99E912D1BB}" name="total_ingreso" totalsRowFunction="sum" dataDxfId="12" totalsRowDxfId="11"/>
    <tableColumn id="5" xr3:uid="{66A263E4-655E-4382-8CBF-F6009E4E8A30}" name="nombre_cliente"/>
    <tableColumn id="6" xr3:uid="{B389F93D-770E-483F-A4FD-D3C0E050B3B5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8524E7-0108-4807-BB33-D86CB9820D35}" name="tblIngresos" displayName="tblIngresos" ref="A1:G7" totalsRowCount="1" headerRowDxfId="9">
  <autoFilter ref="A1:G6" xr:uid="{A88524E7-0108-4807-BB33-D86CB9820D35}"/>
  <tableColumns count="7">
    <tableColumn id="1" xr3:uid="{F081D28E-F346-40E4-B493-D4E368EE734F}" name="Orden de Recibo" totalsRowLabel="Total"/>
    <tableColumn id="2" xr3:uid="{88EB15D0-7BFF-41A5-85DF-69D5E7EBD877}" name="Fecha de Ingreso" dataDxfId="10"/>
    <tableColumn id="3" xr3:uid="{064FC610-454E-4524-8CA6-45BB3476C6E8}" name="Cliente"/>
    <tableColumn id="4" xr3:uid="{ED5028D2-30FC-44E1-A88F-C2613C9C852E}" name="Vendedor"/>
    <tableColumn id="5" xr3:uid="{A2D61A97-DFF8-4ADA-B277-04E92DDCE455}" name="Total Ingreso" totalsRowFunction="sum" dataDxfId="8" totalsRowDxfId="2"/>
    <tableColumn id="6" xr3:uid="{6C5A020B-B0B7-4C5D-A7FC-275F06E4D62F}" name="Total Cobrado" totalsRowFunction="sum" dataDxfId="7" totalsRowDxfId="1"/>
    <tableColumn id="7" xr3:uid="{FD9581AD-0811-4AD8-8A03-DF8FC7076D05}" name="Pago Pendiente" totalsRowFunction="sum" dataDxfId="6" totalsRow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1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1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1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1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10"/>
  <sheetViews>
    <sheetView tabSelected="1" workbookViewId="0">
      <selection activeCell="D6" sqref="D6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88</v>
      </c>
      <c r="C5" s="2">
        <v>45698</v>
      </c>
      <c r="D5" s="10">
        <v>7000</v>
      </c>
      <c r="E5" t="s">
        <v>61</v>
      </c>
      <c r="F5" t="s">
        <v>35</v>
      </c>
    </row>
    <row r="6" spans="1:6" x14ac:dyDescent="0.3">
      <c r="A6">
        <v>14</v>
      </c>
      <c r="B6" t="s">
        <v>90</v>
      </c>
      <c r="C6" s="2">
        <v>45940</v>
      </c>
      <c r="D6" s="10">
        <v>100</v>
      </c>
      <c r="E6" t="s">
        <v>66</v>
      </c>
      <c r="F6" t="s">
        <v>91</v>
      </c>
    </row>
    <row r="7" spans="1:6" x14ac:dyDescent="0.3">
      <c r="A7">
        <v>15</v>
      </c>
      <c r="B7" t="s">
        <v>92</v>
      </c>
      <c r="C7" s="2">
        <v>45942</v>
      </c>
      <c r="D7" s="10">
        <v>2123</v>
      </c>
      <c r="E7" t="s">
        <v>72</v>
      </c>
      <c r="F7" t="s">
        <v>93</v>
      </c>
    </row>
    <row r="8" spans="1:6" x14ac:dyDescent="0.3">
      <c r="A8">
        <v>16</v>
      </c>
      <c r="B8" t="s">
        <v>94</v>
      </c>
      <c r="C8" s="2">
        <v>46001</v>
      </c>
      <c r="D8" s="10">
        <v>1444</v>
      </c>
      <c r="E8" t="s">
        <v>73</v>
      </c>
      <c r="F8" t="s">
        <v>91</v>
      </c>
    </row>
    <row r="9" spans="1:6" x14ac:dyDescent="0.3">
      <c r="A9">
        <v>17</v>
      </c>
      <c r="B9" t="s">
        <v>95</v>
      </c>
      <c r="C9" s="2">
        <v>45950</v>
      </c>
      <c r="D9" s="10">
        <v>4000</v>
      </c>
      <c r="E9" t="s">
        <v>62</v>
      </c>
      <c r="F9" t="s">
        <v>93</v>
      </c>
    </row>
    <row r="10" spans="1:6" x14ac:dyDescent="0.3">
      <c r="A10" t="s">
        <v>45</v>
      </c>
      <c r="C10"/>
      <c r="D10" s="10">
        <f>SUBTOTAL(109,tblIngresosRegistrados[total_ingreso])</f>
        <v>14667</v>
      </c>
      <c r="F10">
        <f>SUBTOTAL(103,tblIngresosRegistrados[nombre_vendedor])</f>
        <v>5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7"/>
  <sheetViews>
    <sheetView workbookViewId="0">
      <selection activeCell="G2" sqref="G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34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94</v>
      </c>
      <c r="B2" s="3">
        <v>46001</v>
      </c>
      <c r="C2" t="s">
        <v>73</v>
      </c>
      <c r="D2" t="s">
        <v>91</v>
      </c>
      <c r="E2" s="16">
        <v>1444</v>
      </c>
      <c r="F2" s="16">
        <v>0</v>
      </c>
      <c r="G2" s="16">
        <v>1444</v>
      </c>
    </row>
    <row r="3" spans="1:7" x14ac:dyDescent="0.3">
      <c r="A3" t="s">
        <v>95</v>
      </c>
      <c r="B3" s="3">
        <v>45950</v>
      </c>
      <c r="C3" t="s">
        <v>62</v>
      </c>
      <c r="D3" t="s">
        <v>93</v>
      </c>
      <c r="E3" s="16">
        <v>4000</v>
      </c>
      <c r="F3" s="16">
        <v>300</v>
      </c>
      <c r="G3" s="16">
        <v>3700</v>
      </c>
    </row>
    <row r="4" spans="1:7" x14ac:dyDescent="0.3">
      <c r="A4" t="s">
        <v>92</v>
      </c>
      <c r="B4" s="3">
        <v>45942</v>
      </c>
      <c r="C4" t="s">
        <v>72</v>
      </c>
      <c r="D4" t="s">
        <v>93</v>
      </c>
      <c r="E4" s="16">
        <v>2123</v>
      </c>
      <c r="F4" s="16">
        <v>0</v>
      </c>
      <c r="G4" s="16">
        <v>2123</v>
      </c>
    </row>
    <row r="5" spans="1:7" x14ac:dyDescent="0.3">
      <c r="A5" t="s">
        <v>90</v>
      </c>
      <c r="B5" s="3">
        <v>45940</v>
      </c>
      <c r="C5" t="s">
        <v>66</v>
      </c>
      <c r="D5" t="s">
        <v>91</v>
      </c>
      <c r="E5" s="16">
        <v>100</v>
      </c>
      <c r="F5" s="16">
        <v>0</v>
      </c>
      <c r="G5" s="16">
        <v>100</v>
      </c>
    </row>
    <row r="6" spans="1:7" x14ac:dyDescent="0.3">
      <c r="A6" t="s">
        <v>88</v>
      </c>
      <c r="B6" s="3">
        <v>45698</v>
      </c>
      <c r="C6" t="s">
        <v>61</v>
      </c>
      <c r="D6" t="s">
        <v>35</v>
      </c>
      <c r="E6" s="16">
        <v>7000</v>
      </c>
      <c r="F6" s="16">
        <v>500</v>
      </c>
      <c r="G6" s="16">
        <v>6500</v>
      </c>
    </row>
    <row r="7" spans="1:7" x14ac:dyDescent="0.3">
      <c r="A7" t="s">
        <v>45</v>
      </c>
      <c r="E7" s="16">
        <f>SUBTOTAL(109,tblIngresos[Total Ingreso])</f>
        <v>14667</v>
      </c>
      <c r="F7" s="16">
        <f>SUBTOTAL(109,tblIngresos[Total Cobrado])</f>
        <v>800</v>
      </c>
      <c r="G7" s="16">
        <f>SUBTOTAL(109,tblIngresos[Pago Pendiente])</f>
        <v>13867</v>
      </c>
    </row>
  </sheetData>
  <conditionalFormatting sqref="G2:G6">
    <cfRule type="cellIs" dxfId="3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4"/>
  <sheetViews>
    <sheetView workbookViewId="0">
      <selection activeCell="H4" sqref="H4"/>
    </sheetView>
  </sheetViews>
  <sheetFormatPr baseColWidth="10" defaultRowHeight="14.4" x14ac:dyDescent="0.3"/>
  <cols>
    <col min="1" max="1" width="32.77734375" bestFit="1" customWidth="1"/>
    <col min="2" max="2" width="7" bestFit="1" customWidth="1"/>
    <col min="3" max="3" width="10.5546875" bestFit="1" customWidth="1"/>
    <col min="4" max="4" width="8.33203125" bestFit="1" customWidth="1"/>
    <col min="5" max="5" width="20.2187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ht="18" x14ac:dyDescent="0.35">
      <c r="A1" s="12" t="s">
        <v>96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14</v>
      </c>
      <c r="B4" s="5">
        <v>981298</v>
      </c>
      <c r="C4" s="14">
        <v>45940</v>
      </c>
      <c r="D4" s="15">
        <v>100</v>
      </c>
      <c r="E4" s="5" t="s">
        <v>66</v>
      </c>
      <c r="F4" s="5" t="s">
        <v>91</v>
      </c>
      <c r="G4" s="15">
        <v>0</v>
      </c>
      <c r="H4" s="15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89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61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51</v>
      </c>
    </row>
    <row r="3" spans="1:4" x14ac:dyDescent="0.3">
      <c r="A3">
        <v>30</v>
      </c>
      <c r="B3" t="s">
        <v>52</v>
      </c>
    </row>
    <row r="4" spans="1:4" x14ac:dyDescent="0.3">
      <c r="A4">
        <v>31</v>
      </c>
      <c r="B4" t="s">
        <v>53</v>
      </c>
    </row>
    <row r="5" spans="1:4" x14ac:dyDescent="0.3">
      <c r="A5">
        <v>32</v>
      </c>
      <c r="B5" t="s">
        <v>54</v>
      </c>
    </row>
    <row r="6" spans="1:4" x14ac:dyDescent="0.3">
      <c r="A6">
        <v>33</v>
      </c>
      <c r="B6" t="s">
        <v>55</v>
      </c>
    </row>
    <row r="7" spans="1:4" x14ac:dyDescent="0.3">
      <c r="A7">
        <v>34</v>
      </c>
      <c r="B7" t="s">
        <v>56</v>
      </c>
    </row>
    <row r="8" spans="1:4" x14ac:dyDescent="0.3">
      <c r="A8">
        <v>35</v>
      </c>
      <c r="B8" t="s">
        <v>57</v>
      </c>
    </row>
    <row r="9" spans="1:4" x14ac:dyDescent="0.3">
      <c r="A9">
        <v>36</v>
      </c>
      <c r="B9" t="s">
        <v>58</v>
      </c>
    </row>
    <row r="10" spans="1:4" x14ac:dyDescent="0.3">
      <c r="A10">
        <v>37</v>
      </c>
      <c r="B10" t="s">
        <v>59</v>
      </c>
    </row>
    <row r="11" spans="1:4" x14ac:dyDescent="0.3">
      <c r="A11">
        <v>38</v>
      </c>
      <c r="B11" t="s">
        <v>60</v>
      </c>
    </row>
    <row r="12" spans="1:4" x14ac:dyDescent="0.3">
      <c r="A12">
        <v>39</v>
      </c>
      <c r="B12" t="s">
        <v>61</v>
      </c>
    </row>
    <row r="13" spans="1:4" x14ac:dyDescent="0.3">
      <c r="A13">
        <v>40</v>
      </c>
      <c r="B13" t="s">
        <v>62</v>
      </c>
    </row>
    <row r="14" spans="1:4" x14ac:dyDescent="0.3">
      <c r="A14">
        <v>41</v>
      </c>
      <c r="B14" t="s">
        <v>63</v>
      </c>
    </row>
    <row r="15" spans="1:4" x14ac:dyDescent="0.3">
      <c r="A15">
        <v>42</v>
      </c>
      <c r="B15" t="s">
        <v>64</v>
      </c>
    </row>
    <row r="16" spans="1:4" x14ac:dyDescent="0.3">
      <c r="A16">
        <v>43</v>
      </c>
      <c r="B16" t="s">
        <v>65</v>
      </c>
    </row>
    <row r="17" spans="1:2" x14ac:dyDescent="0.3">
      <c r="A17">
        <v>44</v>
      </c>
      <c r="B17" t="s">
        <v>66</v>
      </c>
    </row>
    <row r="18" spans="1:2" x14ac:dyDescent="0.3">
      <c r="A18">
        <v>45</v>
      </c>
      <c r="B18" t="s">
        <v>67</v>
      </c>
    </row>
    <row r="19" spans="1:2" x14ac:dyDescent="0.3">
      <c r="A19">
        <v>46</v>
      </c>
      <c r="B19" t="s">
        <v>68</v>
      </c>
    </row>
    <row r="20" spans="1:2" x14ac:dyDescent="0.3">
      <c r="A20">
        <v>47</v>
      </c>
      <c r="B20" t="s">
        <v>69</v>
      </c>
    </row>
    <row r="21" spans="1:2" x14ac:dyDescent="0.3">
      <c r="A21">
        <v>48</v>
      </c>
      <c r="B21" t="s">
        <v>70</v>
      </c>
    </row>
    <row r="22" spans="1:2" x14ac:dyDescent="0.3">
      <c r="A22">
        <v>49</v>
      </c>
      <c r="B22" t="s">
        <v>71</v>
      </c>
    </row>
    <row r="23" spans="1:2" x14ac:dyDescent="0.3">
      <c r="A23">
        <v>50</v>
      </c>
      <c r="B23" t="s">
        <v>72</v>
      </c>
    </row>
    <row r="24" spans="1:2" x14ac:dyDescent="0.3">
      <c r="A24">
        <v>51</v>
      </c>
      <c r="B24" t="s">
        <v>73</v>
      </c>
    </row>
    <row r="25" spans="1:2" x14ac:dyDescent="0.3">
      <c r="A25">
        <v>52</v>
      </c>
      <c r="B25" t="s">
        <v>74</v>
      </c>
    </row>
    <row r="26" spans="1:2" x14ac:dyDescent="0.3">
      <c r="A26">
        <v>53</v>
      </c>
      <c r="B26" t="s">
        <v>57</v>
      </c>
    </row>
    <row r="27" spans="1:2" x14ac:dyDescent="0.3">
      <c r="A27">
        <v>54</v>
      </c>
      <c r="B27" t="s">
        <v>75</v>
      </c>
    </row>
    <row r="28" spans="1:2" x14ac:dyDescent="0.3">
      <c r="A28">
        <v>55</v>
      </c>
      <c r="B28" t="s">
        <v>76</v>
      </c>
    </row>
    <row r="29" spans="1:2" x14ac:dyDescent="0.3">
      <c r="A29">
        <v>56</v>
      </c>
      <c r="B29" t="s">
        <v>77</v>
      </c>
    </row>
    <row r="30" spans="1:2" x14ac:dyDescent="0.3">
      <c r="A30">
        <v>57</v>
      </c>
      <c r="B30" t="s">
        <v>78</v>
      </c>
    </row>
    <row r="31" spans="1:2" x14ac:dyDescent="0.3">
      <c r="A31">
        <v>58</v>
      </c>
      <c r="B31" t="s">
        <v>79</v>
      </c>
    </row>
    <row r="32" spans="1:2" x14ac:dyDescent="0.3">
      <c r="A32">
        <v>59</v>
      </c>
      <c r="B32" t="s">
        <v>80</v>
      </c>
    </row>
    <row r="33" spans="1:2" x14ac:dyDescent="0.3">
      <c r="A33">
        <v>60</v>
      </c>
      <c r="B33" t="s">
        <v>81</v>
      </c>
    </row>
    <row r="34" spans="1:2" x14ac:dyDescent="0.3">
      <c r="A34">
        <v>61</v>
      </c>
      <c r="B34" t="s">
        <v>82</v>
      </c>
    </row>
    <row r="35" spans="1:2" x14ac:dyDescent="0.3">
      <c r="A35">
        <v>62</v>
      </c>
      <c r="B35" t="s">
        <v>72</v>
      </c>
    </row>
    <row r="36" spans="1:2" x14ac:dyDescent="0.3">
      <c r="A36">
        <v>63</v>
      </c>
      <c r="B36" t="s">
        <v>83</v>
      </c>
    </row>
    <row r="37" spans="1:2" x14ac:dyDescent="0.3">
      <c r="A37">
        <v>64</v>
      </c>
      <c r="B37" t="s">
        <v>84</v>
      </c>
    </row>
    <row r="38" spans="1:2" x14ac:dyDescent="0.3">
      <c r="A38">
        <v>65</v>
      </c>
      <c r="B38" t="s">
        <v>85</v>
      </c>
    </row>
    <row r="39" spans="1:2" x14ac:dyDescent="0.3">
      <c r="A39">
        <v>66</v>
      </c>
      <c r="B39" t="s">
        <v>86</v>
      </c>
    </row>
    <row r="40" spans="1:2" x14ac:dyDescent="0.3">
      <c r="A40">
        <v>67</v>
      </c>
      <c r="B40" t="s">
        <v>87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2025-09-08T09:02:46Z</dcterms:modified>
</cp:coreProperties>
</file>