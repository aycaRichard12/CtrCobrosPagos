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macrosheets/sheet2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G:\Duli\Proyectos Duli\SysRa\"/>
    </mc:Choice>
  </mc:AlternateContent>
  <xr:revisionPtr revIDLastSave="0" documentId="13_ncr:1_{55410595-C26E-4810-BC8C-3FE56DA5906A}" xr6:coauthVersionLast="47" xr6:coauthVersionMax="47" xr10:uidLastSave="{00000000-0000-0000-0000-000000000000}"/>
  <bookViews>
    <workbookView xWindow="-108" yWindow="-108" windowWidth="23256" windowHeight="12456" firstSheet="2" activeTab="2" xr2:uid="{00000000-000D-0000-FFFF-FFFF00000000}"/>
  </bookViews>
  <sheets>
    <sheet name="Macro2" sheetId="7" r:id="rId1"/>
    <sheet name="Macro1" sheetId="6" r:id="rId2"/>
    <sheet name="Ingresos" sheetId="3" r:id="rId3"/>
    <sheet name="Reporte Ingresos" sheetId="9" r:id="rId4"/>
    <sheet name="Cobros Ingreso" sheetId="33" r:id="rId5"/>
    <sheet name="Reporte de Ingresos con Detalle" sheetId="31" r:id="rId6"/>
    <sheet name="Clientes" sheetId="4" r:id="rId7"/>
    <sheet name="Cuentas_Banco" sheetId="5" r:id="rId8"/>
    <sheet name="Vendedores" sheetId="2" r:id="rId9"/>
    <sheet name="Tipos" sheetId="1" r:id="rId10"/>
    <sheet name="BNB LISMER" sheetId="18" r:id="rId11"/>
    <sheet name="BNB SHIRLEY" sheetId="19" r:id="rId12"/>
    <sheet name="CUENTA PAOLA" sheetId="20" r:id="rId13"/>
    <sheet name="SOL-SANDRA" sheetId="21" r:id="rId14"/>
    <sheet name="UNION-CELIA" sheetId="22" r:id="rId15"/>
    <sheet name="UNION-GABRIEL " sheetId="23" r:id="rId16"/>
    <sheet name="UNION-GUASEBE" sheetId="24" r:id="rId17"/>
    <sheet name="UNION-JCARLOS" sheetId="25" r:id="rId18"/>
    <sheet name="Hoja1" sheetId="34" r:id="rId1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vendedor_59a0d709-b00b-4336-83fe-1bad146318c2" name="vendedor" connection="Consulta - vendedor"/>
          <x15:modelTable id="tipo_89856dea-b190-41b5-a52a-bdf52b33d23e" name="tipo" connection="Consulta - tipo"/>
          <x15:modelTable id="proveedor_058f672a-d598-45c3-8767-0f486777a5c9" name="proveedor" connection="Consulta - proveedor"/>
          <x15:modelTable id="pagos_banco_3e9973dd-a25e-4d72-8dc1-ec460d223403" name="pagos_banco" connection="Consulta - pagos_banco"/>
          <x15:modelTable id="pagos_edb08306-e7ff-476e-96a9-7cfff10bd75d" name="pagos" connection="Consulta - pagos"/>
          <x15:modelTable id="ingreso_d39d32cc-8cf2-4852-8405-cf2fe1938746" name="ingreso" connection="Consulta - ingreso"/>
          <x15:modelTable id="egreso_5adc9338-c018-4f56-8fbc-031de4481d02" name="egreso" connection="Consulta - egreso"/>
          <x15:modelTable id="cuenta_6930a7fb-3a2e-4980-bdf3-89ce20290fa4" name="cuenta" connection="Consulta - cuenta"/>
          <x15:modelTable id="cobros_banco_83a3cca3-b07b-4448-b925-64e97366d437" name="cobros_banco" connection="Consulta - cobros_banco"/>
          <x15:modelTable id="cobros_eb5a576a-c7b4-4458-995f-180d61392bd8" name="cobros" connection="Consulta - cobros"/>
          <x15:modelTable id="cliente_d3074235-b74c-4294-80fc-c705aa4f18bd" name="cliente" connection="Consulta - cliente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10" i="3" l="1"/>
  <c r="D10" i="3"/>
  <c r="F3" i="9"/>
  <c r="E3" i="9"/>
  <c r="G3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29F8E5-09C7-4E2C-B009-BBDFF1A57301}" name="Consulta - cliente" description="Conexión a la consulta 'cliente' en el libro." type="100" refreshedVersion="8" minRefreshableVersion="5">
    <extLst>
      <ext xmlns:x15="http://schemas.microsoft.com/office/spreadsheetml/2010/11/main" uri="{DE250136-89BD-433C-8126-D09CA5730AF9}">
        <x15:connection id="6ba52f18-3fb7-4a5c-a601-a32db8a65155"/>
      </ext>
    </extLst>
  </connection>
  <connection id="2" xr16:uid="{4B4314A2-31CB-4935-ADC4-7CED16425BD7}" name="Consulta - cobros" description="Conexión a la consulta 'cobros' en el libro." type="100" refreshedVersion="8" minRefreshableVersion="5">
    <extLst>
      <ext xmlns:x15="http://schemas.microsoft.com/office/spreadsheetml/2010/11/main" uri="{DE250136-89BD-433C-8126-D09CA5730AF9}">
        <x15:connection id="c4d9b94c-d20d-48ae-b3dd-9b8ad896b2a6"/>
      </ext>
    </extLst>
  </connection>
  <connection id="3" xr16:uid="{11150AEC-ACF7-4996-B367-99BD889CBB76}" name="Consulta - cobros_banco" description="Conexión a la consulta 'cobros_banco' en el libro." type="100" refreshedVersion="8" minRefreshableVersion="5">
    <extLst>
      <ext xmlns:x15="http://schemas.microsoft.com/office/spreadsheetml/2010/11/main" uri="{DE250136-89BD-433C-8126-D09CA5730AF9}">
        <x15:connection id="0a78b969-a895-4f9f-871d-ac28abdc4145"/>
      </ext>
    </extLst>
  </connection>
  <connection id="4" xr16:uid="{12B7EFEC-7DF8-4339-9A1E-58651B1A69CB}" name="Consulta - cuenta" description="Conexión a la consulta 'cuenta' en el libro." type="100" refreshedVersion="8" minRefreshableVersion="5">
    <extLst>
      <ext xmlns:x15="http://schemas.microsoft.com/office/spreadsheetml/2010/11/main" uri="{DE250136-89BD-433C-8126-D09CA5730AF9}">
        <x15:connection id="34379438-2746-4553-9a08-d89fb213c79d"/>
      </ext>
    </extLst>
  </connection>
  <connection id="5" xr16:uid="{3B411D21-F13B-4F92-930F-E8B4658E934A}" name="Consulta - egreso" description="Conexión a la consulta 'egreso' en el libro." type="100" refreshedVersion="8" minRefreshableVersion="5">
    <extLst>
      <ext xmlns:x15="http://schemas.microsoft.com/office/spreadsheetml/2010/11/main" uri="{DE250136-89BD-433C-8126-D09CA5730AF9}">
        <x15:connection id="271ad449-6bea-4630-865e-6ef9e779ce28"/>
      </ext>
    </extLst>
  </connection>
  <connection id="6" xr16:uid="{E349D0C3-95C3-45E3-9760-70A7C38C2D9C}" name="Consulta - ingreso" description="Conexión a la consulta 'ingreso' en el libro." type="100" refreshedVersion="8" minRefreshableVersion="5">
    <extLst>
      <ext xmlns:x15="http://schemas.microsoft.com/office/spreadsheetml/2010/11/main" uri="{DE250136-89BD-433C-8126-D09CA5730AF9}">
        <x15:connection id="cc5c031d-7f18-4e36-8b91-b2dcda2785cb"/>
      </ext>
    </extLst>
  </connection>
  <connection id="7" xr16:uid="{8B7CE2B3-6420-4FDE-9A73-ADCCAA56D8B0}" name="Consulta - pagos" description="Conexión a la consulta 'pagos' en el libro." type="100" refreshedVersion="8" minRefreshableVersion="5">
    <extLst>
      <ext xmlns:x15="http://schemas.microsoft.com/office/spreadsheetml/2010/11/main" uri="{DE250136-89BD-433C-8126-D09CA5730AF9}">
        <x15:connection id="3558a5f5-e479-4f7c-9a2d-b5eb8aaf82c8"/>
      </ext>
    </extLst>
  </connection>
  <connection id="8" xr16:uid="{4F307C69-B44F-4194-90D7-152E12F08FB7}" name="Consulta - pagos_banco" description="Conexión a la consulta 'pagos_banco' en el libro." type="100" refreshedVersion="8" minRefreshableVersion="5">
    <extLst>
      <ext xmlns:x15="http://schemas.microsoft.com/office/spreadsheetml/2010/11/main" uri="{DE250136-89BD-433C-8126-D09CA5730AF9}">
        <x15:connection id="f2cf3ac5-b530-4817-9a45-0d73ef767c93"/>
      </ext>
    </extLst>
  </connection>
  <connection id="9" xr16:uid="{1736C57B-8675-4A32-A76D-B4D3FA53CDB6}" name="Consulta - proveedor" description="Conexión a la consulta 'proveedor' en el libro." type="100" refreshedVersion="8" minRefreshableVersion="5">
    <extLst>
      <ext xmlns:x15="http://schemas.microsoft.com/office/spreadsheetml/2010/11/main" uri="{DE250136-89BD-433C-8126-D09CA5730AF9}">
        <x15:connection id="b53525a7-8931-43b9-8dfa-014ce728dc87"/>
      </ext>
    </extLst>
  </connection>
  <connection id="10" xr16:uid="{0D943A44-0B8C-47C0-9E0E-9184D83C772D}" name="Consulta - tipo" description="Conexión a la consulta 'tipo' en el libro." type="100" refreshedVersion="8" minRefreshableVersion="5">
    <extLst>
      <ext xmlns:x15="http://schemas.microsoft.com/office/spreadsheetml/2010/11/main" uri="{DE250136-89BD-433C-8126-D09CA5730AF9}">
        <x15:connection id="04cdf8c7-6366-4b4d-a2f9-4fa79c522228"/>
      </ext>
    </extLst>
  </connection>
  <connection id="11" xr16:uid="{5A35FD0F-8894-4F0F-B324-DACFFFB1E029}" name="Consulta - vendedor" description="Conexión a la consulta 'vendedor' en el libro." type="100" refreshedVersion="8" minRefreshableVersion="5">
    <extLst>
      <ext xmlns:x15="http://schemas.microsoft.com/office/spreadsheetml/2010/11/main" uri="{DE250136-89BD-433C-8126-D09CA5730AF9}">
        <x15:connection id="a1a8a408-9ddd-4b60-a898-cdb71f90cc6f"/>
      </ext>
    </extLst>
  </connection>
  <connection id="12" xr16:uid="{09282F84-44AE-4BC8-8775-89BDFE86DE84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<sst xmlns="http://schemas.openxmlformats.org/spreadsheetml/2006/main" count="153" uniqueCount="106">
  <si>
    <t>idtipo</t>
  </si>
  <si>
    <t>tipo</t>
  </si>
  <si>
    <t>QR</t>
  </si>
  <si>
    <t>Efectivo</t>
  </si>
  <si>
    <t>Transferencia</t>
  </si>
  <si>
    <t>tarjeta</t>
  </si>
  <si>
    <t>Cheques</t>
  </si>
  <si>
    <t>Idvendedor</t>
  </si>
  <si>
    <t>nombre</t>
  </si>
  <si>
    <t>apellido</t>
  </si>
  <si>
    <t>telefono</t>
  </si>
  <si>
    <t>Juan</t>
  </si>
  <si>
    <t>-</t>
  </si>
  <si>
    <t>Paola</t>
  </si>
  <si>
    <t>PAOLA</t>
  </si>
  <si>
    <t>0</t>
  </si>
  <si>
    <t>JUAN</t>
  </si>
  <si>
    <t>idcuenta</t>
  </si>
  <si>
    <t>cuenta_banco</t>
  </si>
  <si>
    <t xml:space="preserve">UNION-GABRIEL </t>
  </si>
  <si>
    <t>UNION-GUASEBE</t>
  </si>
  <si>
    <t>UNION-CELIA</t>
  </si>
  <si>
    <t>UNION-JCARLOS</t>
  </si>
  <si>
    <t>BNB SHIRLEY</t>
  </si>
  <si>
    <t>BNB LISMER</t>
  </si>
  <si>
    <t>SOL-SANDRA</t>
  </si>
  <si>
    <t>CUENTA PAOLA</t>
  </si>
  <si>
    <t>idcliente</t>
  </si>
  <si>
    <t>descripcion</t>
  </si>
  <si>
    <t>idingreso</t>
  </si>
  <si>
    <t>orden_recibo</t>
  </si>
  <si>
    <t>fecha</t>
  </si>
  <si>
    <t>total_ingreso</t>
  </si>
  <si>
    <t>nombre_cliente</t>
  </si>
  <si>
    <t>nombre_vendedor</t>
  </si>
  <si>
    <t>JUAN -</t>
  </si>
  <si>
    <t>Elimiar</t>
  </si>
  <si>
    <t>No se encontraron cobros para esta cuenta.</t>
  </si>
  <si>
    <t>Orden de Recibo</t>
  </si>
  <si>
    <t>Fecha de Ingreso</t>
  </si>
  <si>
    <t>Cliente</t>
  </si>
  <si>
    <t>Vendedor</t>
  </si>
  <si>
    <t>Total Ingreso</t>
  </si>
  <si>
    <t>Total Cobrado</t>
  </si>
  <si>
    <t>Pago Pendiente</t>
  </si>
  <si>
    <t>Total</t>
  </si>
  <si>
    <t>ID Ingreso</t>
  </si>
  <si>
    <t>Recibo</t>
  </si>
  <si>
    <t>Fecha</t>
  </si>
  <si>
    <t>Cobrado</t>
  </si>
  <si>
    <t>Pendiente</t>
  </si>
  <si>
    <t>Normal</t>
  </si>
  <si>
    <t xml:space="preserve">LISBETH (ENTRE RIOS) </t>
  </si>
  <si>
    <t xml:space="preserve">BLANCA (IVIRGARZAMA) </t>
  </si>
  <si>
    <t xml:space="preserve">HILDA (SHINAOTA) </t>
  </si>
  <si>
    <t>REYNALDO (VENTAS)</t>
  </si>
  <si>
    <t>COMERCIAL BEIJING</t>
  </si>
  <si>
    <t>ROLANDO QUISPE (EL ALTO)</t>
  </si>
  <si>
    <t>JULIO ROQUE (YACUIBA)</t>
  </si>
  <si>
    <t>JUAN JOSE MAMANI (EL ALTO)</t>
  </si>
  <si>
    <t>GABINO JUSTO (EL ALTO)</t>
  </si>
  <si>
    <t>GONZALO LOPEZ (ELECTRODO)</t>
  </si>
  <si>
    <t>BERTO JIMENEZ (VALLE GRANDE)</t>
  </si>
  <si>
    <t>AMADEO CUENCA FLORES (ELECTRODO)</t>
  </si>
  <si>
    <t>FERNANDO BARRERA (INOX)</t>
  </si>
  <si>
    <t>ORLANDO MAMANI (VILLAZON)</t>
  </si>
  <si>
    <t>ALEX SIGUARIO (TARIJA)</t>
  </si>
  <si>
    <t>AMERICO PEREZ (INOX)</t>
  </si>
  <si>
    <t>JUAN CONTRERAS (LA PAZ)</t>
  </si>
  <si>
    <t>JOSE MAMANI (LLALLAGUA)</t>
  </si>
  <si>
    <t>MICHAEL VILLALOBOS (EL ALTO)</t>
  </si>
  <si>
    <t>FELICIANO AGUILAR (ALAMBRE MIG)</t>
  </si>
  <si>
    <t>GARY VALERO (PINTURA)</t>
  </si>
  <si>
    <t>ALEXANDRE LOPEZ (INOX)</t>
  </si>
  <si>
    <t>VALERIO JARJURI</t>
  </si>
  <si>
    <t>NOEMI MONTAÑO</t>
  </si>
  <si>
    <t xml:space="preserve">EDSON METALINOX </t>
  </si>
  <si>
    <t>ERNESTO GARCIA (AYACUCHO)</t>
  </si>
  <si>
    <t xml:space="preserve">ERNESTO (SHINAOTA) </t>
  </si>
  <si>
    <t>HILARIA CRUZ (MIZQUE)</t>
  </si>
  <si>
    <t>GENOVEVA MACHADO (ENTRE RIOS)</t>
  </si>
  <si>
    <t>COMERCIAL FLORES</t>
  </si>
  <si>
    <t>OMAR (YAPACANI)</t>
  </si>
  <si>
    <t>HUGO QUISPE CABRERA</t>
  </si>
  <si>
    <t>ALEXANDRA RODRIGUEZ (TARIJA)</t>
  </si>
  <si>
    <t>ALEXANDER CASTILLO</t>
  </si>
  <si>
    <t xml:space="preserve">HUGO PORCO ESTRADA (TARIJA) </t>
  </si>
  <si>
    <t xml:space="preserve">HUGO MONTAÑO </t>
  </si>
  <si>
    <t>CLIENTE-VARIOS</t>
  </si>
  <si>
    <t>415161</t>
  </si>
  <si>
    <t>Ingreso:  415161</t>
  </si>
  <si>
    <t>Resumen del Ingreso: 415161</t>
  </si>
  <si>
    <t>Detalle de Cobros Realizados</t>
  </si>
  <si>
    <t>ID Cobro</t>
  </si>
  <si>
    <t>Método</t>
  </si>
  <si>
    <t>Traza</t>
  </si>
  <si>
    <t>Monto Cobrado</t>
  </si>
  <si>
    <t>Fecha Cobro</t>
  </si>
  <si>
    <t>Cuenta Bancaria</t>
  </si>
  <si>
    <t>Fecha Sistema</t>
  </si>
  <si>
    <t>981298</t>
  </si>
  <si>
    <t>Juan -</t>
  </si>
  <si>
    <t>12312|</t>
  </si>
  <si>
    <t>PAOLA -</t>
  </si>
  <si>
    <t>12312</t>
  </si>
  <si>
    <t>123123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</si>
</sst>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Bs&quot;#,##0.00;[Red]\-&quot;Bs&quot;#,##0.00"/>
    <numFmt numFmtId="164" formatCode="dd/mm/yyyy"/>
    <numFmt numFmtId="165" formatCode="&quot;Bs&quot;#,##0.00;[Red]\ \-\ &quot;Bs&quot;#,##0.00"/>
    <numFmt numFmtId="166" formatCode="&quot;Bs&quot;#,##0.00"/>
  </numFmts>
  <fonts count="7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336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14FFF"/>
        <bgColor indexed="64"/>
      </patternFill>
    </fill>
    <fill>
      <patternFill patternType="solid">
        <fgColor rgb="FF10295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164" fontId="0" fillId="0" borderId="0" xfId="0" applyNumberFormat="1"/>
    <xf numFmtId="14" fontId="0" fillId="0" borderId="0" xfId="0" applyNumberFormat="1"/>
    <xf numFmtId="0" fontId="2" fillId="0" borderId="0" xfId="0" applyFont="1"/>
    <xf numFmtId="0" fontId="0" fillId="0" borderId="1" xfId="0" applyBorder="1"/>
    <xf numFmtId="14" fontId="0" fillId="0" borderId="1" xfId="0" applyNumberFormat="1" applyBorder="1"/>
    <xf numFmtId="0" fontId="2" fillId="2" borderId="0" xfId="0" applyFont="1" applyFill="1"/>
    <xf numFmtId="0" fontId="3" fillId="2" borderId="1" xfId="0" applyFont="1" applyFill="1" applyBorder="1"/>
    <xf numFmtId="164" fontId="2" fillId="2" borderId="0" xfId="0" applyNumberFormat="1" applyFont="1" applyFill="1"/>
    <xf numFmtId="165" fontId="0" fillId="0" borderId="0" xfId="0" applyNumberFormat="1" applyAlignment="1">
      <alignment horizontal="right"/>
    </xf>
    <xf numFmtId="0" fontId="3" fillId="4" borderId="0" xfId="0" applyFont="1" applyFill="1"/>
    <xf numFmtId="0" fontId="4" fillId="0" borderId="0" xfId="0" applyFont="1"/>
    <xf numFmtId="0" fontId="5" fillId="5" borderId="1" xfId="0" applyFont="1" applyFill="1" applyBorder="1" applyAlignment="1">
      <alignment horizontal="center" vertical="center"/>
    </xf>
    <xf numFmtId="164" fontId="0" fillId="0" borderId="1" xfId="0" applyNumberFormat="1" applyBorder="1"/>
    <xf numFmtId="166" fontId="0" fillId="0" borderId="1" xfId="0" applyNumberFormat="1" applyBorder="1"/>
    <xf numFmtId="0" fontId="6" fillId="0" borderId="0" xfId="0" applyFont="1"/>
    <xf numFmtId="0" fontId="5" fillId="3" borderId="1" xfId="0" applyFont="1" applyFill="1" applyBorder="1" applyAlignment="1">
      <alignment horizontal="center" vertical="center"/>
    </xf>
    <xf numFmtId="8" fontId="0" fillId="0" borderId="0" xfId="0" applyNumberFormat="1" applyAlignment="1">
      <alignment horizontal="right"/>
    </xf>
  </cellXfs>
  <cellStyles count="1">
    <cellStyle name="Normal" xfId="0" builtinId="0"/>
  </cellStyles>
  <dxfs count="17">
    <dxf>
      <alignment horizontal="right" vertical="bottom" textRotation="0" wrapText="0" indent="0" justifyLastLine="0" shrinkToFit="0" readingOrder="0"/>
    </dxf>
    <dxf>
      <font>
        <b/>
        <i val="0"/>
        <color rgb="FFFF0000"/>
      </font>
    </dxf>
    <dxf>
      <numFmt numFmtId="165" formatCode="&quot;Bs&quot;#,##0.00;[Red]\ \-\ &quot;Bs&quot;#,##0.00"/>
      <alignment horizontal="right" vertical="bottom" textRotation="0" wrapText="0" indent="0" justifyLastLine="0" shrinkToFit="0" readingOrder="0"/>
    </dxf>
    <dxf>
      <numFmt numFmtId="164" formatCode="dd/mm/yyyy"/>
    </dxf>
    <dxf>
      <font>
        <b/>
      </font>
      <fill>
        <patternFill patternType="solid">
          <fgColor indexed="64"/>
          <bgColor rgb="FF003366"/>
        </patternFill>
      </fill>
    </dxf>
    <dxf>
      <font>
        <b/>
        <color rgb="FFFFFFFF"/>
      </font>
      <fill>
        <patternFill patternType="solid">
          <fgColor indexed="64"/>
          <bgColor rgb="FFC14FFF"/>
        </patternFill>
      </fill>
    </dxf>
    <dxf>
      <font>
        <b/>
        <color rgb="FFFFFFFF"/>
      </font>
      <fill>
        <patternFill patternType="solid">
          <fgColor indexed="64"/>
          <bgColor rgb="FFC14FFF"/>
        </patternFill>
      </fill>
    </dxf>
    <dxf>
      <font>
        <b/>
        <color rgb="FFFFFFFF"/>
      </font>
      <fill>
        <patternFill patternType="solid">
          <fgColor indexed="64"/>
          <bgColor rgb="FFC14FFF"/>
        </patternFill>
      </fill>
    </dxf>
    <dxf>
      <font>
        <b/>
        <color rgb="FFFFFFFF"/>
      </font>
      <fill>
        <patternFill patternType="solid">
          <fgColor indexed="64"/>
          <bgColor rgb="FFC14FFF"/>
        </patternFill>
      </fill>
    </dxf>
    <dxf>
      <numFmt numFmtId="12" formatCode="&quot;Bs&quot;#,##0.00;[Red]\-&quot;Bs&quot;#,##0.00"/>
      <alignment horizontal="right" vertical="bottom" textRotation="0" wrapText="0" indent="0" justifyLastLine="0" shrinkToFit="0" readingOrder="0"/>
    </dxf>
    <dxf>
      <numFmt numFmtId="12" formatCode="&quot;Bs&quot;#,##0.00;[Red]\-&quot;Bs&quot;#,##0.0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2" formatCode="&quot;Bs&quot;#,##0.00;[Red]\-&quot;Bs&quot;#,##0.0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2" formatCode="&quot;Bs&quot;#,##0.00;[Red]\-&quot;Bs&quot;#,##0.00"/>
      <alignment horizontal="right" vertical="bottom" textRotation="0" wrapText="0" indent="0" justifyLastLine="0" shrinkToFit="0" readingOrder="0"/>
    </dxf>
    <dxf>
      <numFmt numFmtId="19" formatCode="d/m/yyyy"/>
    </dxf>
    <dxf>
      <font>
        <b/>
      </font>
      <fill>
        <patternFill patternType="solid">
          <fgColor indexed="64"/>
          <bgColor rgb="FF003366"/>
        </patternFill>
      </fill>
    </dxf>
  </dxfs>
  <tableStyles count="0" defaultTableStyle="TableStyleMedium2" defaultPivotStyle="PivotStyleLight16"/>
  <colors>
    <mruColors>
      <color rgb="FFFF8F8F"/>
      <color rgb="FFFFD1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xml"/><Relationship Id="rId13" Type="http://schemas.openxmlformats.org/officeDocument/2006/relationships/worksheet" Target="worksheets/sheet11.xml"/><Relationship Id="rId18" Type="http://schemas.openxmlformats.org/officeDocument/2006/relationships/worksheet" Target="worksheets/sheet16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1.xml"/><Relationship Id="rId21" Type="http://schemas.openxmlformats.org/officeDocument/2006/relationships/connections" Target="connections.xml"/><Relationship Id="rId7" Type="http://schemas.openxmlformats.org/officeDocument/2006/relationships/worksheet" Target="worksheets/sheet5.xml"/><Relationship Id="rId12" Type="http://schemas.openxmlformats.org/officeDocument/2006/relationships/worksheet" Target="worksheets/sheet10.xml"/><Relationship Id="rId17" Type="http://schemas.openxmlformats.org/officeDocument/2006/relationships/worksheet" Target="worksheets/sheet15.xml"/><Relationship Id="rId25" Type="http://schemas.openxmlformats.org/officeDocument/2006/relationships/calcChain" Target="calcChain.xml"/><Relationship Id="rId2" Type="http://schemas.microsoft.com/office/2006/relationships/xlMacrosheet" Target="macrosheets/sheet2.xml"/><Relationship Id="rId16" Type="http://schemas.openxmlformats.org/officeDocument/2006/relationships/worksheet" Target="worksheets/sheet14.xml"/><Relationship Id="rId20" Type="http://schemas.openxmlformats.org/officeDocument/2006/relationships/theme" Target="theme/theme1.xml"/><Relationship Id="rId1" Type="http://schemas.microsoft.com/office/2006/relationships/xlMacrosheet" Target="macrosheets/sheet1.xml"/><Relationship Id="rId6" Type="http://schemas.openxmlformats.org/officeDocument/2006/relationships/worksheet" Target="worksheets/sheet4.xml"/><Relationship Id="rId11" Type="http://schemas.openxmlformats.org/officeDocument/2006/relationships/worksheet" Target="worksheets/sheet9.xml"/><Relationship Id="rId24" Type="http://schemas.openxmlformats.org/officeDocument/2006/relationships/powerPivotData" Target="model/item.data"/><Relationship Id="rId5" Type="http://schemas.openxmlformats.org/officeDocument/2006/relationships/worksheet" Target="worksheets/sheet3.xml"/><Relationship Id="rId15" Type="http://schemas.openxmlformats.org/officeDocument/2006/relationships/worksheet" Target="worksheets/sheet13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8.xml"/><Relationship Id="rId19" Type="http://schemas.openxmlformats.org/officeDocument/2006/relationships/worksheet" Target="worksheets/sheet17.xml"/><Relationship Id="rId4" Type="http://schemas.openxmlformats.org/officeDocument/2006/relationships/worksheet" Target="worksheets/sheet2.xml"/><Relationship Id="rId9" Type="http://schemas.openxmlformats.org/officeDocument/2006/relationships/worksheet" Target="worksheets/sheet7.xml"/><Relationship Id="rId14" Type="http://schemas.openxmlformats.org/officeDocument/2006/relationships/worksheet" Target="worksheets/sheet12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99060</xdr:rowOff>
    </xdr:from>
    <xdr:to>
      <xdr:col>1</xdr:col>
      <xdr:colOff>922020</xdr:colOff>
      <xdr:row>2</xdr:row>
      <xdr:rowOff>60960</xdr:rowOff>
    </xdr:to>
    <xdr:sp macro="[0]!AbrirFormularioRegistrarIngres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9C3CA324-0161-9AB7-E6D3-A06A57184AD3}"/>
            </a:ext>
          </a:extLst>
        </xdr:cNvPr>
        <xdr:cNvSpPr/>
      </xdr:nvSpPr>
      <xdr:spPr>
        <a:xfrm>
          <a:off x="30480" y="99060"/>
          <a:ext cx="1615440" cy="327660"/>
        </a:xfrm>
        <a:prstGeom prst="roundRect">
          <a:avLst/>
        </a:prstGeom>
        <a:gradFill>
          <a:gsLst>
            <a:gs pos="0">
              <a:schemeClr val="accent6">
                <a:lumMod val="75000"/>
              </a:schemeClr>
            </a:gs>
            <a:gs pos="50000">
              <a:schemeClr val="accent6">
                <a:lumMod val="105000"/>
                <a:satMod val="103000"/>
                <a:tint val="73000"/>
              </a:schemeClr>
            </a:gs>
            <a:gs pos="100000">
              <a:schemeClr val="accent6">
                <a:lumMod val="105000"/>
                <a:satMod val="109000"/>
                <a:tint val="81000"/>
              </a:schemeClr>
            </a:gs>
          </a:gsLst>
        </a:gradFill>
        <a:ln>
          <a:solidFill>
            <a:srgbClr val="00B050"/>
          </a:solidFill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600">
              <a:solidFill>
                <a:schemeClr val="bg1"/>
              </a:solidFill>
            </a:rPr>
            <a:t>Nuevo</a:t>
          </a:r>
          <a:r>
            <a:rPr lang="es-BO" sz="1600" baseline="0">
              <a:solidFill>
                <a:schemeClr val="bg1"/>
              </a:solidFill>
            </a:rPr>
            <a:t> Ingreso</a:t>
          </a:r>
        </a:p>
      </xdr:txBody>
    </xdr:sp>
    <xdr:clientData/>
  </xdr:twoCellAnchor>
  <xdr:twoCellAnchor>
    <xdr:from>
      <xdr:col>1</xdr:col>
      <xdr:colOff>975360</xdr:colOff>
      <xdr:row>0</xdr:row>
      <xdr:rowOff>106680</xdr:rowOff>
    </xdr:from>
    <xdr:to>
      <xdr:col>2</xdr:col>
      <xdr:colOff>495300</xdr:colOff>
      <xdr:row>2</xdr:row>
      <xdr:rowOff>76200</xdr:rowOff>
    </xdr:to>
    <xdr:sp macro="[0]!CargarIngresosRegistradosEnHoj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7003F9A-791F-34B7-1B4C-1CAFD250F251}"/>
            </a:ext>
          </a:extLst>
        </xdr:cNvPr>
        <xdr:cNvSpPr/>
      </xdr:nvSpPr>
      <xdr:spPr>
        <a:xfrm>
          <a:off x="1699260" y="106680"/>
          <a:ext cx="1760220" cy="3352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Actualizar Tabla </a:t>
          </a:r>
        </a:p>
      </xdr:txBody>
    </xdr:sp>
    <xdr:clientData/>
  </xdr:twoCellAnchor>
  <xdr:twoCellAnchor>
    <xdr:from>
      <xdr:col>3</xdr:col>
      <xdr:colOff>685800</xdr:colOff>
      <xdr:row>0</xdr:row>
      <xdr:rowOff>83820</xdr:rowOff>
    </xdr:from>
    <xdr:to>
      <xdr:col>4</xdr:col>
      <xdr:colOff>1272540</xdr:colOff>
      <xdr:row>2</xdr:row>
      <xdr:rowOff>60960</xdr:rowOff>
    </xdr:to>
    <xdr:sp macro="[0]!GenerarReportesPorCuent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CFD56D25-632F-405E-78C1-EA8DACE87FE7}"/>
            </a:ext>
          </a:extLst>
        </xdr:cNvPr>
        <xdr:cNvSpPr/>
      </xdr:nvSpPr>
      <xdr:spPr>
        <a:xfrm>
          <a:off x="5615940" y="83820"/>
          <a:ext cx="2362200" cy="342900"/>
        </a:xfrm>
        <a:prstGeom prst="round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Reporte x</a:t>
          </a:r>
          <a:r>
            <a:rPr lang="es-BO" sz="1600" baseline="0"/>
            <a:t> Cuentas</a:t>
          </a:r>
          <a:r>
            <a:rPr lang="es-BO" sz="1100" baseline="0"/>
            <a:t> </a:t>
          </a:r>
          <a:r>
            <a:rPr lang="es-BO" sz="1600" baseline="0"/>
            <a:t>Banco</a:t>
          </a:r>
        </a:p>
      </xdr:txBody>
    </xdr:sp>
    <xdr:clientData/>
  </xdr:twoCellAnchor>
  <xdr:twoCellAnchor>
    <xdr:from>
      <xdr:col>2</xdr:col>
      <xdr:colOff>548640</xdr:colOff>
      <xdr:row>0</xdr:row>
      <xdr:rowOff>99060</xdr:rowOff>
    </xdr:from>
    <xdr:to>
      <xdr:col>3</xdr:col>
      <xdr:colOff>640080</xdr:colOff>
      <xdr:row>2</xdr:row>
      <xdr:rowOff>91440</xdr:rowOff>
    </xdr:to>
    <xdr:sp macro="[0]!ReporteIngres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2B022A31-DE83-7051-6286-B56ADE99E43E}"/>
            </a:ext>
          </a:extLst>
        </xdr:cNvPr>
        <xdr:cNvSpPr/>
      </xdr:nvSpPr>
      <xdr:spPr>
        <a:xfrm>
          <a:off x="3512820" y="99060"/>
          <a:ext cx="2057400" cy="358140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Reporte Ingresos</a:t>
          </a:r>
        </a:p>
      </xdr:txBody>
    </xdr:sp>
    <xdr:clientData/>
  </xdr:twoCellAnchor>
  <xdr:twoCellAnchor>
    <xdr:from>
      <xdr:col>4</xdr:col>
      <xdr:colOff>1341120</xdr:colOff>
      <xdr:row>0</xdr:row>
      <xdr:rowOff>53340</xdr:rowOff>
    </xdr:from>
    <xdr:to>
      <xdr:col>5</xdr:col>
      <xdr:colOff>1790700</xdr:colOff>
      <xdr:row>2</xdr:row>
      <xdr:rowOff>68580</xdr:rowOff>
    </xdr:to>
    <xdr:sp macro="[0]!AbrirFormularioRegistrarCobroSinCliente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4B2CCD4C-CE87-D5CC-AEC8-216FF3A694CA}"/>
            </a:ext>
          </a:extLst>
        </xdr:cNvPr>
        <xdr:cNvSpPr/>
      </xdr:nvSpPr>
      <xdr:spPr>
        <a:xfrm>
          <a:off x="8046720" y="53340"/>
          <a:ext cx="2255520" cy="381000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Registrar Pagos</a:t>
          </a:r>
          <a:r>
            <a:rPr lang="es-BO" sz="1600" baseline="0"/>
            <a:t> Banco</a:t>
          </a:r>
        </a:p>
        <a:p>
          <a:pPr algn="ctr"/>
          <a:endParaRPr lang="es-BO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</xdr:colOff>
      <xdr:row>0</xdr:row>
      <xdr:rowOff>152400</xdr:rowOff>
    </xdr:from>
    <xdr:to>
      <xdr:col>11</xdr:col>
      <xdr:colOff>525780</xdr:colOff>
      <xdr:row>3</xdr:row>
      <xdr:rowOff>30480</xdr:rowOff>
    </xdr:to>
    <xdr:sp macro="[0]!ReporteIngres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F5010C8-4BFD-E019-E1B6-01759B177104}"/>
            </a:ext>
          </a:extLst>
        </xdr:cNvPr>
        <xdr:cNvSpPr/>
      </xdr:nvSpPr>
      <xdr:spPr>
        <a:xfrm>
          <a:off x="8275320" y="152400"/>
          <a:ext cx="2522220" cy="4267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Actualizar Reporte Ingresos</a:t>
          </a:r>
        </a:p>
      </xdr:txBody>
    </xdr:sp>
    <xdr:clientData/>
  </xdr:twoCellAnchor>
  <xdr:twoCellAnchor>
    <xdr:from>
      <xdr:col>8</xdr:col>
      <xdr:colOff>53340</xdr:colOff>
      <xdr:row>3</xdr:row>
      <xdr:rowOff>68580</xdr:rowOff>
    </xdr:from>
    <xdr:to>
      <xdr:col>11</xdr:col>
      <xdr:colOff>541020</xdr:colOff>
      <xdr:row>5</xdr:row>
      <xdr:rowOff>99060</xdr:rowOff>
    </xdr:to>
    <xdr:sp macro="[0]!ExportarIngresosEnUnaHoj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F6FE052D-8BB0-1A98-7654-A4AAAAD35B84}"/>
            </a:ext>
          </a:extLst>
        </xdr:cNvPr>
        <xdr:cNvSpPr/>
      </xdr:nvSpPr>
      <xdr:spPr>
        <a:xfrm>
          <a:off x="8290560" y="617220"/>
          <a:ext cx="2522220" cy="3962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Detalles</a:t>
          </a:r>
          <a:r>
            <a:rPr lang="es-BO" sz="1600" baseline="0"/>
            <a:t> Cobros Ingresos</a:t>
          </a:r>
          <a:endParaRPr lang="es-BO" sz="16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754380</xdr:colOff>
      <xdr:row>3</xdr:row>
      <xdr:rowOff>129540</xdr:rowOff>
    </xdr:from>
    <xdr:to>
      <xdr:col>8</xdr:col>
      <xdr:colOff>182880</xdr:colOff>
      <xdr:row>5</xdr:row>
      <xdr:rowOff>91440</xdr:rowOff>
    </xdr:to>
    <xdr:sp macro="[0]!AbrirFormularioCliente" textlink="">
      <xdr:nvSpPr>
        <xdr:cNvPr id="2" name="Diagrama de flujo: proceso alternativo 1">
          <a:extLst>
            <a:ext uri="{FF2B5EF4-FFF2-40B4-BE49-F238E27FC236}">
              <a16:creationId xmlns:a16="http://schemas.microsoft.com/office/drawing/2014/main" id="{693C4A58-0FF6-C8F7-A97A-BA2729FEECB4}"/>
            </a:ext>
          </a:extLst>
        </xdr:cNvPr>
        <xdr:cNvSpPr/>
      </xdr:nvSpPr>
      <xdr:spPr>
        <a:xfrm>
          <a:off x="5890260" y="678180"/>
          <a:ext cx="1805940" cy="327660"/>
        </a:xfrm>
        <a:prstGeom prst="flowChartAlternateProcess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>
              <a:solidFill>
                <a:schemeClr val="bg1"/>
              </a:solidFill>
            </a:rPr>
            <a:t>Registrar</a:t>
          </a:r>
          <a:r>
            <a:rPr lang="es-BO" sz="1600" baseline="0"/>
            <a:t> </a:t>
          </a:r>
          <a:r>
            <a:rPr lang="es-BO" sz="1600"/>
            <a:t>Clientes</a:t>
          </a:r>
        </a:p>
      </xdr:txBody>
    </xdr:sp>
    <xdr:clientData/>
  </xdr:twoCellAnchor>
  <xdr:twoCellAnchor>
    <xdr:from>
      <xdr:col>5</xdr:col>
      <xdr:colOff>746760</xdr:colOff>
      <xdr:row>6</xdr:row>
      <xdr:rowOff>60960</xdr:rowOff>
    </xdr:from>
    <xdr:to>
      <xdr:col>8</xdr:col>
      <xdr:colOff>182880</xdr:colOff>
      <xdr:row>8</xdr:row>
      <xdr:rowOff>76200</xdr:rowOff>
    </xdr:to>
    <xdr:sp macro="[0]!CargarClienteEnHoj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A9D6685-BDEF-EBFE-DB1E-8EA10F1F1BDB}"/>
            </a:ext>
          </a:extLst>
        </xdr:cNvPr>
        <xdr:cNvSpPr/>
      </xdr:nvSpPr>
      <xdr:spPr>
        <a:xfrm>
          <a:off x="5882640" y="1158240"/>
          <a:ext cx="1813560" cy="38100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600"/>
            <a:t>Actualizar</a:t>
          </a:r>
          <a:r>
            <a:rPr lang="es-BO" sz="1100" baseline="0"/>
            <a:t> </a:t>
          </a:r>
          <a:r>
            <a:rPr lang="es-BO" sz="1600" baseline="0"/>
            <a:t>Clientes</a:t>
          </a:r>
          <a:endParaRPr lang="es-BO" sz="16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327660</xdr:colOff>
      <xdr:row>2</xdr:row>
      <xdr:rowOff>68580</xdr:rowOff>
    </xdr:from>
    <xdr:to>
      <xdr:col>9</xdr:col>
      <xdr:colOff>152400</xdr:colOff>
      <xdr:row>4</xdr:row>
      <xdr:rowOff>15240</xdr:rowOff>
    </xdr:to>
    <xdr:sp macro="[0]!AbrirFormularioCuent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C75AC8C-2F9F-2C31-2DB4-9C17D9D1DB4F}"/>
            </a:ext>
          </a:extLst>
        </xdr:cNvPr>
        <xdr:cNvSpPr/>
      </xdr:nvSpPr>
      <xdr:spPr>
        <a:xfrm>
          <a:off x="5577840" y="434340"/>
          <a:ext cx="2202180" cy="31242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Registrar Cuenta Banco</a:t>
          </a:r>
        </a:p>
      </xdr:txBody>
    </xdr:sp>
    <xdr:clientData/>
  </xdr:twoCellAnchor>
  <xdr:twoCellAnchor>
    <xdr:from>
      <xdr:col>6</xdr:col>
      <xdr:colOff>358140</xdr:colOff>
      <xdr:row>4</xdr:row>
      <xdr:rowOff>152400</xdr:rowOff>
    </xdr:from>
    <xdr:to>
      <xdr:col>9</xdr:col>
      <xdr:colOff>114300</xdr:colOff>
      <xdr:row>6</xdr:row>
      <xdr:rowOff>91440</xdr:rowOff>
    </xdr:to>
    <xdr:sp macro="[0]!CargarCuentasBancoEnHoj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DD4F2FB1-101A-1E79-FF4C-0773CE900EA3}"/>
            </a:ext>
          </a:extLst>
        </xdr:cNvPr>
        <xdr:cNvSpPr/>
      </xdr:nvSpPr>
      <xdr:spPr>
        <a:xfrm>
          <a:off x="5608320" y="883920"/>
          <a:ext cx="213360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Actualizar Tabla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106680</xdr:colOff>
      <xdr:row>2</xdr:row>
      <xdr:rowOff>60960</xdr:rowOff>
    </xdr:from>
    <xdr:to>
      <xdr:col>8</xdr:col>
      <xdr:colOff>518160</xdr:colOff>
      <xdr:row>4</xdr:row>
      <xdr:rowOff>0</xdr:rowOff>
    </xdr:to>
    <xdr:sp macro="[0]!AbrirFormularioVendedo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5D8F430-A657-57EA-467D-0824A85E24D5}"/>
            </a:ext>
          </a:extLst>
        </xdr:cNvPr>
        <xdr:cNvSpPr/>
      </xdr:nvSpPr>
      <xdr:spPr>
        <a:xfrm>
          <a:off x="4861560" y="426720"/>
          <a:ext cx="1996440" cy="3048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Registrar Vendedores</a:t>
          </a:r>
        </a:p>
      </xdr:txBody>
    </xdr:sp>
    <xdr:clientData/>
  </xdr:twoCellAnchor>
  <xdr:twoCellAnchor>
    <xdr:from>
      <xdr:col>6</xdr:col>
      <xdr:colOff>99060</xdr:colOff>
      <xdr:row>5</xdr:row>
      <xdr:rowOff>15240</xdr:rowOff>
    </xdr:from>
    <xdr:to>
      <xdr:col>8</xdr:col>
      <xdr:colOff>502920</xdr:colOff>
      <xdr:row>6</xdr:row>
      <xdr:rowOff>129540</xdr:rowOff>
    </xdr:to>
    <xdr:sp macro="[0]!CargarVendedoresEnHoj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42C8DAC9-964E-ACB9-8A7E-081E72C4B675}"/>
            </a:ext>
          </a:extLst>
        </xdr:cNvPr>
        <xdr:cNvSpPr/>
      </xdr:nvSpPr>
      <xdr:spPr>
        <a:xfrm>
          <a:off x="4853940" y="929640"/>
          <a:ext cx="1988820" cy="2971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Actualizar Tabla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236220</xdr:colOff>
      <xdr:row>0</xdr:row>
      <xdr:rowOff>83820</xdr:rowOff>
    </xdr:from>
    <xdr:to>
      <xdr:col>6</xdr:col>
      <xdr:colOff>594360</xdr:colOff>
      <xdr:row>2</xdr:row>
      <xdr:rowOff>15240</xdr:rowOff>
    </xdr:to>
    <xdr:sp macro="[0]!AbrirFormulari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43919DB-68D5-7C3F-6523-055C67983185}"/>
            </a:ext>
          </a:extLst>
        </xdr:cNvPr>
        <xdr:cNvSpPr/>
      </xdr:nvSpPr>
      <xdr:spPr>
        <a:xfrm>
          <a:off x="2278380" y="83820"/>
          <a:ext cx="2354580" cy="297180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Registrar Metodos</a:t>
          </a:r>
          <a:r>
            <a:rPr lang="es-BO" sz="1600" baseline="0"/>
            <a:t> Pagos </a:t>
          </a:r>
          <a:endParaRPr lang="es-BO" sz="1600"/>
        </a:p>
      </xdr:txBody>
    </xdr:sp>
    <xdr:clientData/>
  </xdr:twoCellAnchor>
  <xdr:twoCellAnchor>
    <xdr:from>
      <xdr:col>3</xdr:col>
      <xdr:colOff>236220</xdr:colOff>
      <xdr:row>2</xdr:row>
      <xdr:rowOff>160020</xdr:rowOff>
    </xdr:from>
    <xdr:to>
      <xdr:col>6</xdr:col>
      <xdr:colOff>579120</xdr:colOff>
      <xdr:row>4</xdr:row>
      <xdr:rowOff>152400</xdr:rowOff>
    </xdr:to>
    <xdr:sp macro="[0]!CargarTiposEnHoj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37425E1-75CF-8C70-89BE-6D99CC5EF74C}"/>
            </a:ext>
          </a:extLst>
        </xdr:cNvPr>
        <xdr:cNvSpPr/>
      </xdr:nvSpPr>
      <xdr:spPr>
        <a:xfrm>
          <a:off x="2278380" y="525780"/>
          <a:ext cx="2339340" cy="358140"/>
        </a:xfrm>
        <a:prstGeom prst="roundRect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Actualizar Tabla</a:t>
          </a:r>
        </a:p>
      </xdr:txBody>
    </xdr:sp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8D042C40-6C82-4339-8E6C-C1AE86F4F7E8}">
  <dimension ref="E11"/>
  <sheetViews>
    <sheetView showFormulas="1" workbookViewId="0">
      <selection activeCell="A28" sqref="A28"/>
    </sheetView>
  </sheetViews>
  <sheetFormatPr baseColWidth="10" defaultRowHeight="14.4" x14ac:dyDescent="0.3"/>
  <sheetData>
    <row r="11" spans="5:5" x14ac:dyDescent="0.3">
      <c r="E11" s="1"/>
    </row>
  </sheetData>
  <pageMargins left="0.7" right="0.7" top="0.75" bottom="0.75" header="0.3" footer="0.3"/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F0F8812C-0746-4E92-B248-F04FE3361B3C}">
  <dimension ref="A1"/>
  <sheetViews>
    <sheetView showFormulas="1" topLeftCell="A13" workbookViewId="0">
      <selection activeCell="D4" sqref="D4"/>
    </sheetView>
  </sheetViews>
  <sheetFormatPr baseColWidth="10" defaultRowHeight="14.4" x14ac:dyDescent="0.3"/>
  <sheetData/>
  <pageMargins left="0.7" right="0.7" top="0.75" bottom="0.75" header="0.3" footer="0.3"/>
</xm:macro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8BF0919-4BFA-453B-9C3F-4E893DD3AF94}" name="tblIngresosRegistrados" displayName="tblIngresosRegistrados" ref="A4:F10" totalsRowCount="1" headerRowDxfId="4">
  <autoFilter ref="A4:F9" xr:uid="{D8BF0919-4BFA-453B-9C3F-4E893DD3AF94}"/>
  <tableColumns count="6">
    <tableColumn id="1" xr3:uid="{D0BFA135-A2B6-4942-A341-EDEFACFF3C95}" name="idingreso" totalsRowLabel="Total"/>
    <tableColumn id="2" xr3:uid="{1029AF3B-F181-432E-8B46-4F32B1FD9A54}" name="orden_recibo"/>
    <tableColumn id="3" xr3:uid="{C7D09780-2A00-4DAD-9952-97DDC4042C45}" name="fecha" dataDxfId="3"/>
    <tableColumn id="4" xr3:uid="{D4A25ECD-A858-4525-AE78-A3724C585C1F}" name="total_ingreso" totalsRowFunction="sum" dataDxfId="2" totalsRowDxfId="0"/>
    <tableColumn id="5" xr3:uid="{F6FE9D4D-2A00-4679-9D3A-76F723A095DD}" name="nombre_cliente"/>
    <tableColumn id="6" xr3:uid="{EE10385E-FEE5-407C-A25D-F3A5307B6C20}" name="nombre_vendedor" totalsRowFunction="c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FC95009-8B30-45AC-8989-DFE8E122020A}" name="tblIngresos" displayName="tblIngresos" ref="A1:G3" totalsRowCount="1" headerRowDxfId="16">
  <autoFilter ref="A1:G2" xr:uid="{6FC95009-8B30-45AC-8989-DFE8E122020A}"/>
  <tableColumns count="7">
    <tableColumn id="1" xr3:uid="{8257B971-31DB-4A9E-9C53-83C9FECD6006}" name="Orden de Recibo" totalsRowLabel="Total"/>
    <tableColumn id="2" xr3:uid="{B47DDC80-C37C-4F97-B9F2-505223AE89AD}" name="Fecha de Ingreso" dataDxfId="15"/>
    <tableColumn id="3" xr3:uid="{D12DEF12-5FA3-4CA8-84AB-317C12E6D2C8}" name="Cliente"/>
    <tableColumn id="4" xr3:uid="{BD5F4D06-0D43-4B6C-9B56-4A51C9825F41}" name="Vendedor"/>
    <tableColumn id="5" xr3:uid="{BB09FDFF-47F5-4681-9C65-1C3F5A28290D}" name="Total Ingreso" totalsRowFunction="sum" dataDxfId="14" totalsRowDxfId="13"/>
    <tableColumn id="6" xr3:uid="{87CEA8C6-B8DF-4350-9827-BFFB6447B1B2}" name="Total Cobrado" totalsRowFunction="sum" dataDxfId="12" totalsRowDxfId="11"/>
    <tableColumn id="7" xr3:uid="{5E3D72EE-9FDB-4DBE-93B3-5C2F6596EC6B}" name="Pago Pendiente" totalsRowFunction="sum" dataDxfId="10" totalsRow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4C77C5-F3E8-4B4B-93CC-059FD0ABCB24}" name="tblClientes" displayName="tblClientes" ref="A1:D40" totalsRowShown="0" headerRowDxfId="8">
  <autoFilter ref="A1:D40" xr:uid="{FD4C77C5-F3E8-4B4B-93CC-059FD0ABCB24}"/>
  <tableColumns count="4">
    <tableColumn id="1" xr3:uid="{F1823A67-474B-4F04-B363-0F92F0A5AA5D}" name="idcliente"/>
    <tableColumn id="2" xr3:uid="{CB7D50E9-9D7A-4069-BE1A-B8FA9BAB615E}" name="nombre"/>
    <tableColumn id="3" xr3:uid="{DB7D003A-C66B-4A97-AA57-ABBE42167DD0}" name="descripcion"/>
    <tableColumn id="4" xr3:uid="{3CDF1C10-3599-4932-8623-978FEF11D061}" name="telefono"/>
  </tableColumns>
  <tableStyleInfo name="TableStyleMedium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71CFD7-E81A-4AA2-A84B-99774E760DC5}" name="tblCuentas" displayName="tblCuentas" ref="A1:B9" totalsRowShown="0" headerRowDxfId="7">
  <autoFilter ref="A1:B9" xr:uid="{FB71CFD7-E81A-4AA2-A84B-99774E760DC5}"/>
  <tableColumns count="2">
    <tableColumn id="1" xr3:uid="{615E3E96-5521-4E48-A127-C0990010240A}" name="idcuenta"/>
    <tableColumn id="2" xr3:uid="{978013DC-EE1C-42AD-B685-26D0BDC950F9}" name="cuenta_banco"/>
  </tableColumns>
  <tableStyleInfo name="TableStyleMedium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42DF0D-B302-42B7-B2EB-729155C1FA53}" name="tblVvendedores" displayName="tblVvendedores" ref="A1:D6" totalsRowShown="0" headerRowDxfId="6">
  <autoFilter ref="A1:D6" xr:uid="{7A42DF0D-B302-42B7-B2EB-729155C1FA53}"/>
  <tableColumns count="4">
    <tableColumn id="1" xr3:uid="{E03D323C-ACBB-4EA6-8A15-2CB1A34B553C}" name="Idvendedor"/>
    <tableColumn id="2" xr3:uid="{AF9B7C40-47A8-4480-A3B4-0CD3634B4940}" name="nombre"/>
    <tableColumn id="3" xr3:uid="{5A460321-3230-4E62-97CB-83E7A727CEF9}" name="apellido"/>
    <tableColumn id="4" xr3:uid="{0C043738-E5BA-4DAE-B3B2-9565DBAC00C0}" name="telefono"/>
  </tableColumns>
  <tableStyleInfo name="TableStyleMedium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D7C27A2-B00A-4B6F-956E-0D105BF1BB0C}" name="tblTipos" displayName="tblTipos" ref="A1:B6" totalsRowShown="0" headerRowDxfId="5">
  <autoFilter ref="A1:B6" xr:uid="{FD7C27A2-B00A-4B6F-956E-0D105BF1BB0C}"/>
  <tableColumns count="2">
    <tableColumn id="1" xr3:uid="{5F885855-16AC-4758-98AC-F18C58CC0337}" name="idtipo"/>
    <tableColumn id="2" xr3:uid="{319F5429-983A-45B2-8655-A841792FBB10}" name="tipo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FD91F-F252-4DF3-877D-25D9C7114553}">
  <sheetPr codeName="Hoja2"/>
  <dimension ref="A3:F10"/>
  <sheetViews>
    <sheetView tabSelected="1" workbookViewId="0">
      <selection activeCell="F16" sqref="F16"/>
    </sheetView>
  </sheetViews>
  <sheetFormatPr baseColWidth="10" defaultRowHeight="14.4" x14ac:dyDescent="0.3"/>
  <cols>
    <col min="1" max="1" width="11" customWidth="1"/>
    <col min="2" max="2" width="32.6640625" customWidth="1"/>
    <col min="3" max="3" width="28.6640625" style="2" customWidth="1"/>
    <col min="4" max="4" width="25.88671875" customWidth="1"/>
    <col min="5" max="5" width="42.21875" customWidth="1"/>
    <col min="6" max="6" width="34.77734375" customWidth="1"/>
    <col min="7" max="7" width="18.88671875" customWidth="1"/>
  </cols>
  <sheetData>
    <row r="3" spans="1:6" ht="15.6" customHeight="1" x14ac:dyDescent="0.3"/>
    <row r="4" spans="1:6" x14ac:dyDescent="0.3">
      <c r="A4" s="7" t="s">
        <v>29</v>
      </c>
      <c r="B4" s="7" t="s">
        <v>30</v>
      </c>
      <c r="C4" s="9" t="s">
        <v>31</v>
      </c>
      <c r="D4" s="7" t="s">
        <v>32</v>
      </c>
      <c r="E4" s="7" t="s">
        <v>33</v>
      </c>
      <c r="F4" s="7" t="s">
        <v>34</v>
      </c>
    </row>
    <row r="5" spans="1:6" x14ac:dyDescent="0.3">
      <c r="A5">
        <v>13</v>
      </c>
      <c r="B5" t="s">
        <v>89</v>
      </c>
      <c r="C5" s="2">
        <v>45698</v>
      </c>
      <c r="D5" s="10">
        <v>7000</v>
      </c>
      <c r="E5" t="s">
        <v>62</v>
      </c>
      <c r="F5" t="s">
        <v>35</v>
      </c>
    </row>
    <row r="6" spans="1:6" x14ac:dyDescent="0.3">
      <c r="A6">
        <v>14</v>
      </c>
      <c r="B6" t="s">
        <v>100</v>
      </c>
      <c r="C6" s="2">
        <v>45940</v>
      </c>
      <c r="D6" s="10">
        <v>100</v>
      </c>
      <c r="E6" t="s">
        <v>67</v>
      </c>
      <c r="F6" t="s">
        <v>101</v>
      </c>
    </row>
    <row r="7" spans="1:6" x14ac:dyDescent="0.3">
      <c r="A7">
        <v>15</v>
      </c>
      <c r="B7" t="s">
        <v>102</v>
      </c>
      <c r="C7" s="2">
        <v>45942</v>
      </c>
      <c r="D7" s="10">
        <v>2123</v>
      </c>
      <c r="E7" t="s">
        <v>73</v>
      </c>
      <c r="F7" t="s">
        <v>103</v>
      </c>
    </row>
    <row r="8" spans="1:6" x14ac:dyDescent="0.3">
      <c r="A8">
        <v>16</v>
      </c>
      <c r="B8" t="s">
        <v>104</v>
      </c>
      <c r="C8" s="2">
        <v>46001</v>
      </c>
      <c r="D8" s="10">
        <v>1444</v>
      </c>
      <c r="E8" t="s">
        <v>74</v>
      </c>
      <c r="F8" t="s">
        <v>101</v>
      </c>
    </row>
    <row r="9" spans="1:6" x14ac:dyDescent="0.3">
      <c r="A9">
        <v>17</v>
      </c>
      <c r="B9" t="s">
        <v>105</v>
      </c>
      <c r="C9" s="2">
        <v>45950</v>
      </c>
      <c r="D9" s="10">
        <v>4000</v>
      </c>
      <c r="E9" t="s">
        <v>63</v>
      </c>
      <c r="F9" t="s">
        <v>103</v>
      </c>
    </row>
    <row r="10" spans="1:6" x14ac:dyDescent="0.3">
      <c r="A10" t="s">
        <v>45</v>
      </c>
      <c r="C10"/>
      <c r="D10" s="10">
        <f>SUBTOTAL(109,tblIngresosRegistrados[total_ingreso])</f>
        <v>14667</v>
      </c>
      <c r="F10">
        <f>SUBTOTAL(103,tblIngresosRegistrados[nombre_vendedor])</f>
        <v>5</v>
      </c>
    </row>
  </sheetData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9BB6B-6735-4282-9018-DB7AE37B4B72}">
  <sheetPr codeName="Hoja7"/>
  <dimension ref="A1:G3"/>
  <sheetViews>
    <sheetView workbookViewId="0">
      <selection activeCell="D2" sqref="D2"/>
    </sheetView>
  </sheetViews>
  <sheetFormatPr baseColWidth="10" defaultRowHeight="14.4" x14ac:dyDescent="0.3"/>
  <cols>
    <col min="1" max="1" width="17.109375" bestFit="1" customWidth="1"/>
    <col min="2" max="2" width="17.33203125" bestFit="1" customWidth="1"/>
    <col min="3" max="3" width="28.44140625" bestFit="1" customWidth="1"/>
    <col min="4" max="4" width="11.5546875" bestFit="1" customWidth="1"/>
    <col min="5" max="5" width="14.109375" bestFit="1" customWidth="1"/>
    <col min="6" max="6" width="15.109375" bestFit="1" customWidth="1"/>
    <col min="7" max="7" width="16.44140625" bestFit="1" customWidth="1"/>
    <col min="8" max="8" width="6.44140625" bestFit="1" customWidth="1"/>
    <col min="9" max="9" width="8.5546875" bestFit="1" customWidth="1"/>
    <col min="10" max="10" width="12.5546875" bestFit="1" customWidth="1"/>
    <col min="11" max="11" width="8.5546875" bestFit="1" customWidth="1"/>
    <col min="12" max="12" width="12.5546875" bestFit="1" customWidth="1"/>
  </cols>
  <sheetData>
    <row r="1" spans="1:7" x14ac:dyDescent="0.3">
      <c r="A1" s="7" t="s">
        <v>38</v>
      </c>
      <c r="B1" s="7" t="s">
        <v>39</v>
      </c>
      <c r="C1" s="7" t="s">
        <v>40</v>
      </c>
      <c r="D1" s="7" t="s">
        <v>41</v>
      </c>
      <c r="E1" s="7" t="s">
        <v>42</v>
      </c>
      <c r="F1" s="7" t="s">
        <v>43</v>
      </c>
      <c r="G1" s="7" t="s">
        <v>44</v>
      </c>
    </row>
    <row r="2" spans="1:7" x14ac:dyDescent="0.3">
      <c r="A2" t="s">
        <v>89</v>
      </c>
      <c r="B2" s="3">
        <v>45698</v>
      </c>
      <c r="C2" t="s">
        <v>62</v>
      </c>
      <c r="D2" t="s">
        <v>35</v>
      </c>
      <c r="E2" s="18">
        <v>7000</v>
      </c>
      <c r="F2" s="18">
        <v>500</v>
      </c>
      <c r="G2" s="18">
        <v>6500</v>
      </c>
    </row>
    <row r="3" spans="1:7" x14ac:dyDescent="0.3">
      <c r="A3" t="s">
        <v>45</v>
      </c>
      <c r="E3" s="18">
        <f>SUBTOTAL(109,tblIngresos[Total Ingreso])</f>
        <v>7000</v>
      </c>
      <c r="F3" s="18">
        <f>SUBTOTAL(109,tblIngresos[Total Cobrado])</f>
        <v>500</v>
      </c>
      <c r="G3" s="18">
        <f>SUBTOTAL(109,tblIngresos[Pago Pendiente])</f>
        <v>6500</v>
      </c>
    </row>
  </sheetData>
  <conditionalFormatting sqref="G2">
    <cfRule type="cellIs" dxfId="1" priority="1" stopIfTrue="1" operator="greaterThan">
      <formula>0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38FE6-2FE6-4977-A5C5-A5474A366B5F}">
  <sheetPr codeName="Hoja15"/>
  <dimension ref="A1:H10"/>
  <sheetViews>
    <sheetView workbookViewId="0">
      <selection activeCell="J7" sqref="J7"/>
    </sheetView>
  </sheetViews>
  <sheetFormatPr baseColWidth="10" defaultRowHeight="14.4" x14ac:dyDescent="0.3"/>
  <cols>
    <col min="1" max="1" width="32.77734375" bestFit="1" customWidth="1"/>
    <col min="2" max="2" width="7.77734375" bestFit="1" customWidth="1"/>
    <col min="3" max="3" width="10.5546875" bestFit="1" customWidth="1"/>
    <col min="4" max="4" width="14.44140625" bestFit="1" customWidth="1"/>
    <col min="5" max="5" width="28.44140625" bestFit="1" customWidth="1"/>
    <col min="6" max="6" width="14.6640625" bestFit="1" customWidth="1"/>
    <col min="7" max="7" width="12.88671875" bestFit="1" customWidth="1"/>
    <col min="8" max="8" width="9.88671875" bestFit="1" customWidth="1"/>
  </cols>
  <sheetData>
    <row r="1" spans="1:8" ht="18" x14ac:dyDescent="0.35">
      <c r="A1" s="12" t="s">
        <v>91</v>
      </c>
    </row>
    <row r="3" spans="1:8" x14ac:dyDescent="0.3">
      <c r="A3" s="13" t="s">
        <v>46</v>
      </c>
      <c r="B3" s="13" t="s">
        <v>47</v>
      </c>
      <c r="C3" s="13" t="s">
        <v>48</v>
      </c>
      <c r="D3" s="13" t="s">
        <v>45</v>
      </c>
      <c r="E3" s="13" t="s">
        <v>40</v>
      </c>
      <c r="F3" s="13" t="s">
        <v>41</v>
      </c>
      <c r="G3" s="13" t="s">
        <v>49</v>
      </c>
      <c r="H3" s="13" t="s">
        <v>50</v>
      </c>
    </row>
    <row r="4" spans="1:8" x14ac:dyDescent="0.3">
      <c r="A4" s="5">
        <v>13</v>
      </c>
      <c r="B4" s="5">
        <v>415161</v>
      </c>
      <c r="C4" s="14">
        <v>45698</v>
      </c>
      <c r="D4" s="15">
        <v>7000</v>
      </c>
      <c r="E4" s="5" t="s">
        <v>62</v>
      </c>
      <c r="F4" s="5" t="s">
        <v>35</v>
      </c>
      <c r="G4" s="15">
        <v>500</v>
      </c>
      <c r="H4" s="15">
        <v>6500</v>
      </c>
    </row>
    <row r="7" spans="1:8" ht="15.6" x14ac:dyDescent="0.3">
      <c r="A7" s="16" t="s">
        <v>92</v>
      </c>
    </row>
    <row r="9" spans="1:8" x14ac:dyDescent="0.3">
      <c r="A9" s="17" t="s">
        <v>93</v>
      </c>
      <c r="B9" s="17" t="s">
        <v>94</v>
      </c>
      <c r="C9" s="17" t="s">
        <v>95</v>
      </c>
      <c r="D9" s="17" t="s">
        <v>96</v>
      </c>
      <c r="E9" s="17" t="s">
        <v>97</v>
      </c>
      <c r="F9" s="17" t="s">
        <v>98</v>
      </c>
      <c r="G9" s="17" t="s">
        <v>99</v>
      </c>
    </row>
    <row r="10" spans="1:8" x14ac:dyDescent="0.3">
      <c r="A10" s="5">
        <v>17</v>
      </c>
      <c r="B10" s="5" t="s">
        <v>3</v>
      </c>
      <c r="C10" s="5" t="s">
        <v>51</v>
      </c>
      <c r="D10" s="15">
        <v>500</v>
      </c>
      <c r="E10" s="14">
        <v>45820</v>
      </c>
      <c r="F10" s="5" t="s">
        <v>22</v>
      </c>
      <c r="G10" s="14">
        <v>45700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0E892-74C4-4A12-959C-67E2B0D2FA30}">
  <sheetPr codeName="Hoja20"/>
  <dimension ref="A1:H4"/>
  <sheetViews>
    <sheetView topLeftCell="A10" workbookViewId="0">
      <selection activeCell="E94" sqref="E94"/>
    </sheetView>
  </sheetViews>
  <sheetFormatPr baseColWidth="10" defaultRowHeight="14.4" x14ac:dyDescent="0.3"/>
  <cols>
    <col min="1" max="1" width="14.6640625" bestFit="1" customWidth="1"/>
    <col min="2" max="2" width="7" bestFit="1" customWidth="1"/>
    <col min="3" max="3" width="9.5546875" bestFit="1" customWidth="1"/>
    <col min="4" max="4" width="5.21875" bestFit="1" customWidth="1"/>
    <col min="5" max="5" width="28.44140625" bestFit="1" customWidth="1"/>
    <col min="6" max="6" width="9.33203125" bestFit="1" customWidth="1"/>
    <col min="7" max="7" width="8.21875" bestFit="1" customWidth="1"/>
    <col min="8" max="8" width="9.5546875" bestFit="1" customWidth="1"/>
  </cols>
  <sheetData>
    <row r="1" spans="1:8" x14ac:dyDescent="0.3">
      <c r="A1" s="4" t="s">
        <v>90</v>
      </c>
    </row>
    <row r="3" spans="1:8" x14ac:dyDescent="0.3">
      <c r="A3" s="8" t="s">
        <v>46</v>
      </c>
      <c r="B3" s="8" t="s">
        <v>47</v>
      </c>
      <c r="C3" s="8" t="s">
        <v>48</v>
      </c>
      <c r="D3" s="8" t="s">
        <v>45</v>
      </c>
      <c r="E3" s="8" t="s">
        <v>40</v>
      </c>
      <c r="F3" s="8" t="s">
        <v>41</v>
      </c>
      <c r="G3" s="8" t="s">
        <v>49</v>
      </c>
      <c r="H3" s="8" t="s">
        <v>50</v>
      </c>
    </row>
    <row r="4" spans="1:8" x14ac:dyDescent="0.3">
      <c r="A4" s="5">
        <v>13</v>
      </c>
      <c r="B4" s="5">
        <v>415161</v>
      </c>
      <c r="C4" s="6">
        <v>45698</v>
      </c>
      <c r="D4" s="5">
        <v>7000</v>
      </c>
      <c r="E4" s="5" t="s">
        <v>62</v>
      </c>
      <c r="F4" s="5" t="s">
        <v>35</v>
      </c>
      <c r="G4" s="5">
        <v>0</v>
      </c>
      <c r="H4" s="5">
        <v>7000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0EB67-29E0-4E65-ACFF-3CBF1D265914}">
  <sheetPr codeName="Hoja3"/>
  <dimension ref="A1:D40"/>
  <sheetViews>
    <sheetView workbookViewId="0">
      <selection activeCell="C12" sqref="C12"/>
    </sheetView>
  </sheetViews>
  <sheetFormatPr baseColWidth="10" defaultRowHeight="14.4" x14ac:dyDescent="0.3"/>
  <cols>
    <col min="1" max="1" width="12.33203125" customWidth="1"/>
    <col min="2" max="2" width="34.33203125" customWidth="1"/>
    <col min="3" max="3" width="18.109375" customWidth="1"/>
    <col min="11" max="11" width="23.5546875" customWidth="1"/>
  </cols>
  <sheetData>
    <row r="1" spans="1:4" x14ac:dyDescent="0.3">
      <c r="A1" s="11" t="s">
        <v>27</v>
      </c>
      <c r="B1" s="11" t="s">
        <v>8</v>
      </c>
      <c r="C1" s="11" t="s">
        <v>28</v>
      </c>
      <c r="D1" s="11" t="s">
        <v>10</v>
      </c>
    </row>
    <row r="2" spans="1:4" x14ac:dyDescent="0.3">
      <c r="A2">
        <v>29</v>
      </c>
      <c r="B2" t="s">
        <v>52</v>
      </c>
    </row>
    <row r="3" spans="1:4" x14ac:dyDescent="0.3">
      <c r="A3">
        <v>30</v>
      </c>
      <c r="B3" t="s">
        <v>53</v>
      </c>
    </row>
    <row r="4" spans="1:4" x14ac:dyDescent="0.3">
      <c r="A4">
        <v>31</v>
      </c>
      <c r="B4" t="s">
        <v>54</v>
      </c>
    </row>
    <row r="5" spans="1:4" x14ac:dyDescent="0.3">
      <c r="A5">
        <v>32</v>
      </c>
      <c r="B5" t="s">
        <v>55</v>
      </c>
    </row>
    <row r="6" spans="1:4" x14ac:dyDescent="0.3">
      <c r="A6">
        <v>33</v>
      </c>
      <c r="B6" t="s">
        <v>56</v>
      </c>
    </row>
    <row r="7" spans="1:4" x14ac:dyDescent="0.3">
      <c r="A7">
        <v>34</v>
      </c>
      <c r="B7" t="s">
        <v>57</v>
      </c>
    </row>
    <row r="8" spans="1:4" x14ac:dyDescent="0.3">
      <c r="A8">
        <v>35</v>
      </c>
      <c r="B8" t="s">
        <v>58</v>
      </c>
    </row>
    <row r="9" spans="1:4" x14ac:dyDescent="0.3">
      <c r="A9">
        <v>36</v>
      </c>
      <c r="B9" t="s">
        <v>59</v>
      </c>
    </row>
    <row r="10" spans="1:4" x14ac:dyDescent="0.3">
      <c r="A10">
        <v>37</v>
      </c>
      <c r="B10" t="s">
        <v>60</v>
      </c>
    </row>
    <row r="11" spans="1:4" x14ac:dyDescent="0.3">
      <c r="A11">
        <v>38</v>
      </c>
      <c r="B11" t="s">
        <v>61</v>
      </c>
    </row>
    <row r="12" spans="1:4" x14ac:dyDescent="0.3">
      <c r="A12">
        <v>39</v>
      </c>
      <c r="B12" t="s">
        <v>62</v>
      </c>
    </row>
    <row r="13" spans="1:4" x14ac:dyDescent="0.3">
      <c r="A13">
        <v>40</v>
      </c>
      <c r="B13" t="s">
        <v>63</v>
      </c>
    </row>
    <row r="14" spans="1:4" x14ac:dyDescent="0.3">
      <c r="A14">
        <v>41</v>
      </c>
      <c r="B14" t="s">
        <v>64</v>
      </c>
    </row>
    <row r="15" spans="1:4" x14ac:dyDescent="0.3">
      <c r="A15">
        <v>42</v>
      </c>
      <c r="B15" t="s">
        <v>65</v>
      </c>
    </row>
    <row r="16" spans="1:4" x14ac:dyDescent="0.3">
      <c r="A16">
        <v>43</v>
      </c>
      <c r="B16" t="s">
        <v>66</v>
      </c>
    </row>
    <row r="17" spans="1:2" x14ac:dyDescent="0.3">
      <c r="A17">
        <v>44</v>
      </c>
      <c r="B17" t="s">
        <v>67</v>
      </c>
    </row>
    <row r="18" spans="1:2" x14ac:dyDescent="0.3">
      <c r="A18">
        <v>45</v>
      </c>
      <c r="B18" t="s">
        <v>68</v>
      </c>
    </row>
    <row r="19" spans="1:2" x14ac:dyDescent="0.3">
      <c r="A19">
        <v>46</v>
      </c>
      <c r="B19" t="s">
        <v>69</v>
      </c>
    </row>
    <row r="20" spans="1:2" x14ac:dyDescent="0.3">
      <c r="A20">
        <v>47</v>
      </c>
      <c r="B20" t="s">
        <v>70</v>
      </c>
    </row>
    <row r="21" spans="1:2" x14ac:dyDescent="0.3">
      <c r="A21">
        <v>48</v>
      </c>
      <c r="B21" t="s">
        <v>71</v>
      </c>
    </row>
    <row r="22" spans="1:2" x14ac:dyDescent="0.3">
      <c r="A22">
        <v>49</v>
      </c>
      <c r="B22" t="s">
        <v>72</v>
      </c>
    </row>
    <row r="23" spans="1:2" x14ac:dyDescent="0.3">
      <c r="A23">
        <v>50</v>
      </c>
      <c r="B23" t="s">
        <v>73</v>
      </c>
    </row>
    <row r="24" spans="1:2" x14ac:dyDescent="0.3">
      <c r="A24">
        <v>51</v>
      </c>
      <c r="B24" t="s">
        <v>74</v>
      </c>
    </row>
    <row r="25" spans="1:2" x14ac:dyDescent="0.3">
      <c r="A25">
        <v>52</v>
      </c>
      <c r="B25" t="s">
        <v>75</v>
      </c>
    </row>
    <row r="26" spans="1:2" x14ac:dyDescent="0.3">
      <c r="A26">
        <v>53</v>
      </c>
      <c r="B26" t="s">
        <v>58</v>
      </c>
    </row>
    <row r="27" spans="1:2" x14ac:dyDescent="0.3">
      <c r="A27">
        <v>54</v>
      </c>
      <c r="B27" t="s">
        <v>76</v>
      </c>
    </row>
    <row r="28" spans="1:2" x14ac:dyDescent="0.3">
      <c r="A28">
        <v>55</v>
      </c>
      <c r="B28" t="s">
        <v>77</v>
      </c>
    </row>
    <row r="29" spans="1:2" x14ac:dyDescent="0.3">
      <c r="A29">
        <v>56</v>
      </c>
      <c r="B29" t="s">
        <v>78</v>
      </c>
    </row>
    <row r="30" spans="1:2" x14ac:dyDescent="0.3">
      <c r="A30">
        <v>57</v>
      </c>
      <c r="B30" t="s">
        <v>79</v>
      </c>
    </row>
    <row r="31" spans="1:2" x14ac:dyDescent="0.3">
      <c r="A31">
        <v>58</v>
      </c>
      <c r="B31" t="s">
        <v>80</v>
      </c>
    </row>
    <row r="32" spans="1:2" x14ac:dyDescent="0.3">
      <c r="A32">
        <v>59</v>
      </c>
      <c r="B32" t="s">
        <v>81</v>
      </c>
    </row>
    <row r="33" spans="1:2" x14ac:dyDescent="0.3">
      <c r="A33">
        <v>60</v>
      </c>
      <c r="B33" t="s">
        <v>82</v>
      </c>
    </row>
    <row r="34" spans="1:2" x14ac:dyDescent="0.3">
      <c r="A34">
        <v>61</v>
      </c>
      <c r="B34" t="s">
        <v>83</v>
      </c>
    </row>
    <row r="35" spans="1:2" x14ac:dyDescent="0.3">
      <c r="A35">
        <v>62</v>
      </c>
      <c r="B35" t="s">
        <v>73</v>
      </c>
    </row>
    <row r="36" spans="1:2" x14ac:dyDescent="0.3">
      <c r="A36">
        <v>63</v>
      </c>
      <c r="B36" t="s">
        <v>84</v>
      </c>
    </row>
    <row r="37" spans="1:2" x14ac:dyDescent="0.3">
      <c r="A37">
        <v>64</v>
      </c>
      <c r="B37" t="s">
        <v>85</v>
      </c>
    </row>
    <row r="38" spans="1:2" x14ac:dyDescent="0.3">
      <c r="A38">
        <v>65</v>
      </c>
      <c r="B38" t="s">
        <v>86</v>
      </c>
    </row>
    <row r="39" spans="1:2" x14ac:dyDescent="0.3">
      <c r="A39">
        <v>66</v>
      </c>
      <c r="B39" t="s">
        <v>87</v>
      </c>
    </row>
    <row r="40" spans="1:2" x14ac:dyDescent="0.3">
      <c r="A40">
        <v>67</v>
      </c>
      <c r="B40" t="s">
        <v>88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6D35A-3E7E-47A9-993F-58F2274E8C38}">
  <sheetPr codeName="Hoja4"/>
  <dimension ref="A1:B9"/>
  <sheetViews>
    <sheetView workbookViewId="0">
      <selection activeCell="D8" sqref="D8"/>
    </sheetView>
  </sheetViews>
  <sheetFormatPr baseColWidth="10" defaultRowHeight="14.4" x14ac:dyDescent="0.3"/>
  <cols>
    <col min="2" max="2" width="18.77734375" customWidth="1"/>
    <col min="15" max="15" width="16.5546875" bestFit="1" customWidth="1"/>
    <col min="16" max="16" width="16.21875" bestFit="1" customWidth="1"/>
  </cols>
  <sheetData>
    <row r="1" spans="1:2" x14ac:dyDescent="0.3">
      <c r="A1" s="11" t="s">
        <v>17</v>
      </c>
      <c r="B1" s="11" t="s">
        <v>18</v>
      </c>
    </row>
    <row r="2" spans="1:2" x14ac:dyDescent="0.3">
      <c r="A2">
        <v>1</v>
      </c>
      <c r="B2" t="s">
        <v>19</v>
      </c>
    </row>
    <row r="3" spans="1:2" x14ac:dyDescent="0.3">
      <c r="A3">
        <v>2</v>
      </c>
      <c r="B3" t="s">
        <v>20</v>
      </c>
    </row>
    <row r="4" spans="1:2" x14ac:dyDescent="0.3">
      <c r="A4">
        <v>3</v>
      </c>
      <c r="B4" t="s">
        <v>21</v>
      </c>
    </row>
    <row r="5" spans="1:2" x14ac:dyDescent="0.3">
      <c r="A5">
        <v>5</v>
      </c>
      <c r="B5" t="s">
        <v>22</v>
      </c>
    </row>
    <row r="6" spans="1:2" x14ac:dyDescent="0.3">
      <c r="A6">
        <v>6</v>
      </c>
      <c r="B6" t="s">
        <v>23</v>
      </c>
    </row>
    <row r="7" spans="1:2" x14ac:dyDescent="0.3">
      <c r="A7">
        <v>7</v>
      </c>
      <c r="B7" t="s">
        <v>24</v>
      </c>
    </row>
    <row r="8" spans="1:2" x14ac:dyDescent="0.3">
      <c r="A8">
        <v>8</v>
      </c>
      <c r="B8" t="s">
        <v>25</v>
      </c>
    </row>
    <row r="9" spans="1:2" x14ac:dyDescent="0.3">
      <c r="A9">
        <v>9</v>
      </c>
      <c r="B9" t="s">
        <v>26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31BDA-6E38-4D26-9988-B116DDF08553}">
  <sheetPr codeName="Hoja5"/>
  <dimension ref="A1:D6"/>
  <sheetViews>
    <sheetView workbookViewId="0">
      <selection activeCell="A4" sqref="A4:XFD4"/>
    </sheetView>
  </sheetViews>
  <sheetFormatPr baseColWidth="10" defaultRowHeight="14.4" x14ac:dyDescent="0.3"/>
  <cols>
    <col min="1" max="1" width="12.88671875" customWidth="1"/>
  </cols>
  <sheetData>
    <row r="1" spans="1:4" x14ac:dyDescent="0.3">
      <c r="A1" s="11" t="s">
        <v>7</v>
      </c>
      <c r="B1" s="11" t="s">
        <v>8</v>
      </c>
      <c r="C1" s="11" t="s">
        <v>9</v>
      </c>
      <c r="D1" s="11" t="s">
        <v>10</v>
      </c>
    </row>
    <row r="2" spans="1:4" x14ac:dyDescent="0.3">
      <c r="A2">
        <v>1</v>
      </c>
      <c r="B2" t="s">
        <v>11</v>
      </c>
      <c r="C2" t="s">
        <v>12</v>
      </c>
      <c r="D2" t="s">
        <v>12</v>
      </c>
    </row>
    <row r="3" spans="1:4" x14ac:dyDescent="0.3">
      <c r="A3">
        <v>2</v>
      </c>
      <c r="B3" t="s">
        <v>13</v>
      </c>
      <c r="C3" t="s">
        <v>12</v>
      </c>
      <c r="D3" t="s">
        <v>12</v>
      </c>
    </row>
    <row r="4" spans="1:4" x14ac:dyDescent="0.3">
      <c r="A4">
        <v>3</v>
      </c>
      <c r="B4" t="s">
        <v>14</v>
      </c>
      <c r="C4" t="s">
        <v>12</v>
      </c>
      <c r="D4" t="s">
        <v>15</v>
      </c>
    </row>
    <row r="5" spans="1:4" x14ac:dyDescent="0.3">
      <c r="A5">
        <v>4</v>
      </c>
      <c r="B5" t="s">
        <v>16</v>
      </c>
      <c r="C5" t="s">
        <v>12</v>
      </c>
      <c r="D5" t="s">
        <v>15</v>
      </c>
    </row>
    <row r="6" spans="1:4" x14ac:dyDescent="0.3">
      <c r="A6">
        <v>5</v>
      </c>
      <c r="B6" t="s">
        <v>36</v>
      </c>
      <c r="C6" t="s">
        <v>12</v>
      </c>
      <c r="D6" t="s">
        <v>15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6"/>
  <sheetViews>
    <sheetView zoomScaleNormal="100" workbookViewId="0">
      <selection activeCell="F11" sqref="F11"/>
    </sheetView>
  </sheetViews>
  <sheetFormatPr baseColWidth="10" defaultColWidth="8.88671875" defaultRowHeight="14.4" x14ac:dyDescent="0.3"/>
  <cols>
    <col min="1" max="1" width="13.77734375" customWidth="1"/>
    <col min="2" max="2" width="12.44140625" customWidth="1"/>
    <col min="4" max="4" width="8.109375" bestFit="1" customWidth="1"/>
    <col min="5" max="5" width="12.109375" bestFit="1" customWidth="1"/>
  </cols>
  <sheetData>
    <row r="1" spans="1:2" x14ac:dyDescent="0.3">
      <c r="A1" s="11" t="s">
        <v>0</v>
      </c>
      <c r="B1" s="11" t="s">
        <v>1</v>
      </c>
    </row>
    <row r="2" spans="1:2" x14ac:dyDescent="0.3">
      <c r="A2">
        <v>1</v>
      </c>
      <c r="B2" t="s">
        <v>2</v>
      </c>
    </row>
    <row r="3" spans="1:2" x14ac:dyDescent="0.3">
      <c r="A3">
        <v>2</v>
      </c>
      <c r="B3" t="s">
        <v>3</v>
      </c>
    </row>
    <row r="4" spans="1:2" x14ac:dyDescent="0.3">
      <c r="A4">
        <v>3</v>
      </c>
      <c r="B4" t="s">
        <v>4</v>
      </c>
    </row>
    <row r="5" spans="1:2" x14ac:dyDescent="0.3">
      <c r="A5">
        <v>4</v>
      </c>
      <c r="B5" t="s">
        <v>5</v>
      </c>
    </row>
    <row r="6" spans="1:2" x14ac:dyDescent="0.3">
      <c r="A6">
        <v>5</v>
      </c>
      <c r="B6" t="s">
        <v>6</v>
      </c>
    </row>
  </sheetData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2FD38-091A-48BA-AB33-31F5E8181F6A}">
  <sheetPr codeName="Hoja6"/>
  <dimension ref="A1"/>
  <sheetViews>
    <sheetView workbookViewId="0">
      <selection activeCell="H13" sqref="H13"/>
    </sheetView>
  </sheetViews>
  <sheetFormatPr baseColWidth="10" defaultRowHeight="14.4" x14ac:dyDescent="0.3"/>
  <cols>
    <col min="1" max="1" width="9.6640625" bestFit="1" customWidth="1"/>
    <col min="2" max="2" width="9.5546875" bestFit="1" customWidth="1"/>
    <col min="3" max="3" width="11" bestFit="1" customWidth="1"/>
    <col min="4" max="4" width="6.5546875" bestFit="1" customWidth="1"/>
    <col min="5" max="5" width="12" bestFit="1" customWidth="1"/>
    <col min="6" max="6" width="11.33203125" bestFit="1" customWidth="1"/>
    <col min="7" max="7" width="10.88671875" bestFit="1" customWidth="1"/>
    <col min="8" max="8" width="11.109375" bestFit="1" customWidth="1"/>
  </cols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072D0-B0A0-4983-867A-4E51E3B8C3E9}">
  <sheetPr codeName="Hoja8"/>
  <dimension ref="A1"/>
  <sheetViews>
    <sheetView workbookViewId="0">
      <selection activeCell="E5" sqref="E5"/>
    </sheetView>
  </sheetViews>
  <sheetFormatPr baseColWidth="10" defaultRowHeight="14.4" x14ac:dyDescent="0.3"/>
  <cols>
    <col min="1" max="1" width="9.6640625" bestFit="1" customWidth="1"/>
    <col min="2" max="2" width="10.5546875" bestFit="1" customWidth="1"/>
    <col min="3" max="3" width="11" bestFit="1" customWidth="1"/>
    <col min="4" max="4" width="7.6640625" bestFit="1" customWidth="1"/>
    <col min="5" max="5" width="10" bestFit="1" customWidth="1"/>
    <col min="6" max="6" width="11.33203125" bestFit="1" customWidth="1"/>
    <col min="7" max="7" width="10.88671875" bestFit="1" customWidth="1"/>
    <col min="8" max="8" width="11.6640625" bestFit="1" customWidth="1"/>
  </cols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D86D9-1A48-43DA-9F45-E2403F6AC8DD}">
  <sheetPr codeName="Hoja9"/>
  <dimension ref="A1"/>
  <sheetViews>
    <sheetView workbookViewId="0">
      <selection activeCell="C28" sqref="C28"/>
    </sheetView>
  </sheetViews>
  <sheetFormatPr baseColWidth="10" defaultRowHeight="14.4" x14ac:dyDescent="0.3"/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F657E-F4A0-4D54-BE7E-9892BC4F30B2}">
  <sheetPr codeName="Hoja10"/>
  <dimension ref="A1"/>
  <sheetViews>
    <sheetView workbookViewId="0">
      <selection activeCell="J25" sqref="J25"/>
    </sheetView>
  </sheetViews>
  <sheetFormatPr baseColWidth="10" defaultRowHeight="14.4" x14ac:dyDescent="0.3"/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0AC3F-34BB-4E4F-AF0D-24DA2956D05D}">
  <sheetPr codeName="Hoja11"/>
  <dimension ref="A1"/>
  <sheetViews>
    <sheetView workbookViewId="0">
      <selection activeCell="H28" sqref="H28"/>
    </sheetView>
  </sheetViews>
  <sheetFormatPr baseColWidth="10" defaultRowHeight="14.4" x14ac:dyDescent="0.3"/>
  <cols>
    <col min="1" max="1" width="9.6640625" bestFit="1" customWidth="1"/>
    <col min="2" max="2" width="9.5546875" bestFit="1" customWidth="1"/>
    <col min="3" max="3" width="11" bestFit="1" customWidth="1"/>
    <col min="4" max="4" width="6.5546875" bestFit="1" customWidth="1"/>
    <col min="5" max="5" width="10" bestFit="1" customWidth="1"/>
    <col min="6" max="6" width="11.33203125" bestFit="1" customWidth="1"/>
    <col min="7" max="7" width="10.88671875" bestFit="1" customWidth="1"/>
    <col min="8" max="8" width="12.21875" bestFit="1" customWidth="1"/>
  </cols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5013C-85DE-41FF-B3C1-93BF59D5F4E9}">
  <sheetPr codeName="Hoja12"/>
  <dimension ref="A1"/>
  <sheetViews>
    <sheetView workbookViewId="0">
      <selection activeCell="D28" sqref="D28"/>
    </sheetView>
  </sheetViews>
  <sheetFormatPr baseColWidth="10" defaultRowHeight="14.4" x14ac:dyDescent="0.3"/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10F83-F045-4890-A2B9-7B7808605880}">
  <sheetPr codeName="Hoja13"/>
  <dimension ref="A1"/>
  <sheetViews>
    <sheetView workbookViewId="0">
      <selection activeCell="E5" sqref="E5"/>
    </sheetView>
  </sheetViews>
  <sheetFormatPr baseColWidth="10" defaultRowHeight="14.4" x14ac:dyDescent="0.3"/>
  <cols>
    <col min="1" max="1" width="9.6640625" bestFit="1" customWidth="1"/>
    <col min="2" max="2" width="10.5546875" bestFit="1" customWidth="1"/>
    <col min="3" max="3" width="11" bestFit="1" customWidth="1"/>
    <col min="4" max="4" width="6.5546875" bestFit="1" customWidth="1"/>
    <col min="5" max="5" width="17.21875" bestFit="1" customWidth="1"/>
    <col min="6" max="6" width="11.33203125" bestFit="1" customWidth="1"/>
    <col min="7" max="7" width="10.88671875" bestFit="1" customWidth="1"/>
    <col min="8" max="8" width="15.21875" bestFit="1" customWidth="1"/>
  </cols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312F8-633B-4F0E-B42D-470963A0B0E4}">
  <sheetPr codeName="Hoja14"/>
  <dimension ref="A1"/>
  <sheetViews>
    <sheetView workbookViewId="0">
      <selection activeCell="G28" sqref="G28"/>
    </sheetView>
  </sheetViews>
  <sheetFormatPr baseColWidth="10" defaultRowHeight="14.4" x14ac:dyDescent="0.3"/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4BC78-EB8A-48E5-AE21-5DD67B59A7D5}">
  <sheetPr codeName="Hoja16"/>
  <dimension ref="A1"/>
  <sheetViews>
    <sheetView workbookViewId="0">
      <selection activeCell="K23" sqref="K23"/>
    </sheetView>
  </sheetViews>
  <sheetFormatPr baseColWidth="10"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6DCF9AB-8B91-4B4F-A3BE-5C8CC2A5BB5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17</vt:i4>
      </vt:variant>
      <vt:variant>
        <vt:lpstr>Macros de Excel 4.0</vt:lpstr>
      </vt:variant>
      <vt:variant>
        <vt:i4>2</vt:i4>
      </vt:variant>
    </vt:vector>
  </HeadingPairs>
  <TitlesOfParts>
    <vt:vector size="19" baseType="lpstr">
      <vt:lpstr>Ingresos</vt:lpstr>
      <vt:lpstr>Reporte Ingresos</vt:lpstr>
      <vt:lpstr>Cobros Ingreso</vt:lpstr>
      <vt:lpstr>Reporte de Ingresos con Detalle</vt:lpstr>
      <vt:lpstr>Clientes</vt:lpstr>
      <vt:lpstr>Cuentas_Banco</vt:lpstr>
      <vt:lpstr>Vendedores</vt:lpstr>
      <vt:lpstr>Tipos</vt:lpstr>
      <vt:lpstr>BNB LISMER</vt:lpstr>
      <vt:lpstr>BNB SHIRLEY</vt:lpstr>
      <vt:lpstr>CUENTA PAOLA</vt:lpstr>
      <vt:lpstr>SOL-SANDRA</vt:lpstr>
      <vt:lpstr>UNION-CELIA</vt:lpstr>
      <vt:lpstr>UNION-GABRIEL </vt:lpstr>
      <vt:lpstr>UNION-GUASEBE</vt:lpstr>
      <vt:lpstr>UNION-JCARLOS</vt:lpstr>
      <vt:lpstr>Hoja1</vt:lpstr>
      <vt:lpstr>Macro2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2015-06-05T18:19:34Z</dcterms:created>
  <dcterms:modified xsi:type="dcterms:W3CDTF">2025-09-02T22:15:49Z</dcterms:modified>
</cp:coreProperties>
</file>